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"/>
    </mc:Choice>
  </mc:AlternateContent>
  <xr:revisionPtr revIDLastSave="0" documentId="13_ncr:1_{5D3D3E7B-61EC-CE43-BB03-F542C23094C1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44" i="1"/>
  <c r="G5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</calcChain>
</file>

<file path=xl/sharedStrings.xml><?xml version="1.0" encoding="utf-8"?>
<sst xmlns="http://schemas.openxmlformats.org/spreadsheetml/2006/main" count="110" uniqueCount="79">
  <si>
    <t>subdivision</t>
  </si>
  <si>
    <t>class</t>
  </si>
  <si>
    <t>live_prop</t>
  </si>
  <si>
    <t>fixed_total</t>
  </si>
  <si>
    <t>unique_live</t>
  </si>
  <si>
    <t>Ancyromonadida_X</t>
  </si>
  <si>
    <t>Ancyromonadida_XX</t>
  </si>
  <si>
    <t>Apusomonada_X</t>
  </si>
  <si>
    <t>Apusomonadidae</t>
  </si>
  <si>
    <t>Bigyra</t>
  </si>
  <si>
    <t>Bicoecea</t>
  </si>
  <si>
    <t>Sagenista</t>
  </si>
  <si>
    <t>Opalozoa</t>
  </si>
  <si>
    <t>Centroplasthelida_X</t>
  </si>
  <si>
    <t>Pterocystida</t>
  </si>
  <si>
    <t>Cercozoa</t>
  </si>
  <si>
    <t>Filosa-Granofilosea</t>
  </si>
  <si>
    <t>Filosa-Imbricatea</t>
  </si>
  <si>
    <t>Phaeodarea</t>
  </si>
  <si>
    <t>Cercozoa_X</t>
  </si>
  <si>
    <t>Filosa-Thecofilosea</t>
  </si>
  <si>
    <t>Chlorophyta_X</t>
  </si>
  <si>
    <t>Chloropicophyceae</t>
  </si>
  <si>
    <t>Trebouxiophyceae</t>
  </si>
  <si>
    <t>Mamiellophyceae</t>
  </si>
  <si>
    <t>Pyramimonadophyceae</t>
  </si>
  <si>
    <t>Choanoflagellata</t>
  </si>
  <si>
    <t>Choanoflagellatea</t>
  </si>
  <si>
    <t>Ciliophora</t>
  </si>
  <si>
    <t>Litostomatea</t>
  </si>
  <si>
    <t>Phyllopharyngea</t>
  </si>
  <si>
    <t>CONThreeP</t>
  </si>
  <si>
    <t>Ciliophora_X</t>
  </si>
  <si>
    <t>Oligohymenophorea</t>
  </si>
  <si>
    <t>Spirotrichea</t>
  </si>
  <si>
    <t>Cryptophyta_X</t>
  </si>
  <si>
    <t>Cryptophyceae</t>
  </si>
  <si>
    <t>Dinoflagellata</t>
  </si>
  <si>
    <t>Dinophyceae</t>
  </si>
  <si>
    <t>Syndiniales</t>
  </si>
  <si>
    <t>Dinoflagellata_X</t>
  </si>
  <si>
    <t>Noctilucophyceae</t>
  </si>
  <si>
    <t>Gyrista</t>
  </si>
  <si>
    <t>MOCH-3</t>
  </si>
  <si>
    <t>Pirsoniales</t>
  </si>
  <si>
    <t>Pelagophyceae</t>
  </si>
  <si>
    <t>Bacillariophyceae</t>
  </si>
  <si>
    <t>Coscinodiscophyceae</t>
  </si>
  <si>
    <t>Chrysophyceae</t>
  </si>
  <si>
    <t>Bolidophyceae</t>
  </si>
  <si>
    <t>Mediophyceae</t>
  </si>
  <si>
    <t>Dictyochophyceae</t>
  </si>
  <si>
    <t>Gyrista_X</t>
  </si>
  <si>
    <t>Haptophyta_X</t>
  </si>
  <si>
    <t>Prymnesiophyceae</t>
  </si>
  <si>
    <t>Kathablepharida</t>
  </si>
  <si>
    <t>Kathablepharidea</t>
  </si>
  <si>
    <t>Opisthokonta_X</t>
  </si>
  <si>
    <t>Opisthokonta_XX</t>
  </si>
  <si>
    <t>Picozoa_X</t>
  </si>
  <si>
    <t>Picozoa_XX</t>
  </si>
  <si>
    <t>Prasinodermophyta_X</t>
  </si>
  <si>
    <t>Prasinodermophyceae</t>
  </si>
  <si>
    <t>Radiolaria</t>
  </si>
  <si>
    <t>RAD-C</t>
  </si>
  <si>
    <t>RAD-B</t>
  </si>
  <si>
    <t>RAD-A</t>
  </si>
  <si>
    <t>Acantharea</t>
  </si>
  <si>
    <t>Radiolaria_X</t>
  </si>
  <si>
    <t>Polycystinea</t>
  </si>
  <si>
    <t>Streptophyta_X</t>
  </si>
  <si>
    <t>Embryophyceae</t>
  </si>
  <si>
    <t>TSAR_XX</t>
  </si>
  <si>
    <t>TSAR_XXX</t>
  </si>
  <si>
    <t>Telonemia_X</t>
  </si>
  <si>
    <t>Telonemia_XX</t>
  </si>
  <si>
    <t>Tubulinea_X</t>
  </si>
  <si>
    <t>Elardia</t>
  </si>
  <si>
    <t>richness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</si>
</sst>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13" zoomScale="117" workbookViewId="0">
      <selection activeCell="H19" sqref="H19"/>
    </sheetView>
  </sheetViews>
  <sheetFormatPr baseColWidth="10" defaultColWidth="8.83203125" defaultRowHeight="15" x14ac:dyDescent="0.2"/>
  <cols>
    <col min="1" max="1" width="18.1640625" bestFit="1" customWidth="1"/>
    <col min="2" max="2" width="19.1640625" bestFit="1" customWidth="1"/>
    <col min="3" max="3" width="8.5" bestFit="1" customWidth="1"/>
    <col min="4" max="4" width="9.5" bestFit="1" customWidth="1"/>
    <col min="5" max="5" width="10.3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78</v>
      </c>
    </row>
    <row r="2" spans="1:7" x14ac:dyDescent="0.2">
      <c r="A2" t="s">
        <v>5</v>
      </c>
      <c r="B2" t="s">
        <v>6</v>
      </c>
      <c r="C2">
        <v>100</v>
      </c>
      <c r="D2">
        <v>3</v>
      </c>
      <c r="E2">
        <v>1</v>
      </c>
      <c r="G2">
        <f>100-C2</f>
        <v>0</v>
      </c>
    </row>
    <row r="3" spans="1:7" x14ac:dyDescent="0.2">
      <c r="A3" t="s">
        <v>7</v>
      </c>
      <c r="B3" t="s">
        <v>8</v>
      </c>
      <c r="C3">
        <v>100</v>
      </c>
      <c r="D3">
        <v>1</v>
      </c>
      <c r="E3">
        <v>4</v>
      </c>
      <c r="G3">
        <f t="shared" ref="G3:G53" si="0">100-C3</f>
        <v>0</v>
      </c>
    </row>
    <row r="4" spans="1:7" x14ac:dyDescent="0.2">
      <c r="A4" t="s">
        <v>9</v>
      </c>
      <c r="B4" t="s">
        <v>10</v>
      </c>
      <c r="C4">
        <v>100</v>
      </c>
      <c r="D4">
        <v>4</v>
      </c>
      <c r="E4">
        <v>5</v>
      </c>
      <c r="G4">
        <f t="shared" si="0"/>
        <v>0</v>
      </c>
    </row>
    <row r="5" spans="1:7" x14ac:dyDescent="0.2">
      <c r="A5" t="s">
        <v>9</v>
      </c>
      <c r="B5" t="s">
        <v>11</v>
      </c>
      <c r="C5">
        <v>44.4</v>
      </c>
      <c r="D5">
        <v>9</v>
      </c>
      <c r="E5">
        <v>21</v>
      </c>
      <c r="G5">
        <f t="shared" si="0"/>
        <v>55.6</v>
      </c>
    </row>
    <row r="6" spans="1:7" x14ac:dyDescent="0.2">
      <c r="A6" t="s">
        <v>9</v>
      </c>
      <c r="B6" t="s">
        <v>12</v>
      </c>
      <c r="C6">
        <v>40</v>
      </c>
      <c r="D6">
        <v>5</v>
      </c>
      <c r="E6">
        <v>7</v>
      </c>
      <c r="G6">
        <f t="shared" si="0"/>
        <v>60</v>
      </c>
    </row>
    <row r="7" spans="1:7" x14ac:dyDescent="0.2">
      <c r="A7" t="s">
        <v>13</v>
      </c>
      <c r="B7" t="s">
        <v>14</v>
      </c>
      <c r="C7">
        <v>100</v>
      </c>
      <c r="D7">
        <v>1</v>
      </c>
      <c r="E7">
        <v>0</v>
      </c>
      <c r="G7">
        <f t="shared" si="0"/>
        <v>0</v>
      </c>
    </row>
    <row r="8" spans="1:7" x14ac:dyDescent="0.2">
      <c r="A8" t="s">
        <v>15</v>
      </c>
      <c r="B8" t="s">
        <v>16</v>
      </c>
      <c r="C8">
        <v>100</v>
      </c>
      <c r="D8">
        <v>2</v>
      </c>
      <c r="E8">
        <v>3</v>
      </c>
      <c r="G8">
        <f t="shared" si="0"/>
        <v>0</v>
      </c>
    </row>
    <row r="9" spans="1:7" x14ac:dyDescent="0.2">
      <c r="A9" t="s">
        <v>15</v>
      </c>
      <c r="B9" t="s">
        <v>17</v>
      </c>
      <c r="C9">
        <v>100</v>
      </c>
      <c r="D9">
        <v>1</v>
      </c>
      <c r="E9">
        <v>5</v>
      </c>
      <c r="G9">
        <f t="shared" si="0"/>
        <v>0</v>
      </c>
    </row>
    <row r="10" spans="1:7" x14ac:dyDescent="0.2">
      <c r="A10" t="s">
        <v>15</v>
      </c>
      <c r="B10" t="s">
        <v>18</v>
      </c>
      <c r="C10">
        <v>83.3</v>
      </c>
      <c r="D10">
        <v>6</v>
      </c>
      <c r="E10">
        <v>10</v>
      </c>
      <c r="G10">
        <f t="shared" si="0"/>
        <v>16.700000000000003</v>
      </c>
    </row>
    <row r="11" spans="1:7" x14ac:dyDescent="0.2">
      <c r="A11" t="s">
        <v>15</v>
      </c>
      <c r="B11" t="s">
        <v>19</v>
      </c>
      <c r="C11">
        <v>80</v>
      </c>
      <c r="D11">
        <v>5</v>
      </c>
      <c r="E11">
        <v>2</v>
      </c>
      <c r="G11">
        <f t="shared" si="0"/>
        <v>20</v>
      </c>
    </row>
    <row r="12" spans="1:7" x14ac:dyDescent="0.2">
      <c r="A12" t="s">
        <v>15</v>
      </c>
      <c r="B12" t="s">
        <v>20</v>
      </c>
      <c r="C12">
        <v>33.299999999999997</v>
      </c>
      <c r="D12">
        <v>6</v>
      </c>
      <c r="E12">
        <v>12</v>
      </c>
      <c r="G12">
        <f t="shared" si="0"/>
        <v>66.7</v>
      </c>
    </row>
    <row r="13" spans="1:7" x14ac:dyDescent="0.2">
      <c r="A13" t="s">
        <v>21</v>
      </c>
      <c r="B13" t="s">
        <v>22</v>
      </c>
      <c r="C13">
        <v>100</v>
      </c>
      <c r="D13">
        <v>6</v>
      </c>
      <c r="E13">
        <v>4</v>
      </c>
      <c r="G13">
        <f t="shared" si="0"/>
        <v>0</v>
      </c>
    </row>
    <row r="14" spans="1:7" x14ac:dyDescent="0.2">
      <c r="A14" t="s">
        <v>21</v>
      </c>
      <c r="B14" t="s">
        <v>23</v>
      </c>
      <c r="C14">
        <v>100</v>
      </c>
      <c r="D14">
        <v>1</v>
      </c>
      <c r="E14">
        <v>0</v>
      </c>
      <c r="G14">
        <f t="shared" si="0"/>
        <v>0</v>
      </c>
    </row>
    <row r="15" spans="1:7" x14ac:dyDescent="0.2">
      <c r="A15" t="s">
        <v>21</v>
      </c>
      <c r="B15" t="s">
        <v>24</v>
      </c>
      <c r="C15">
        <v>85.7</v>
      </c>
      <c r="D15">
        <v>7</v>
      </c>
      <c r="E15">
        <v>1</v>
      </c>
      <c r="G15">
        <f t="shared" si="0"/>
        <v>14.299999999999997</v>
      </c>
    </row>
    <row r="16" spans="1:7" x14ac:dyDescent="0.2">
      <c r="A16" t="s">
        <v>21</v>
      </c>
      <c r="B16" t="s">
        <v>25</v>
      </c>
      <c r="C16">
        <v>40</v>
      </c>
      <c r="D16">
        <v>5</v>
      </c>
      <c r="E16">
        <v>3</v>
      </c>
      <c r="G16">
        <f t="shared" si="0"/>
        <v>60</v>
      </c>
    </row>
    <row r="17" spans="1:8" x14ac:dyDescent="0.2">
      <c r="A17" t="s">
        <v>26</v>
      </c>
      <c r="B17" t="s">
        <v>27</v>
      </c>
      <c r="C17">
        <v>16.7</v>
      </c>
      <c r="D17">
        <v>6</v>
      </c>
      <c r="E17">
        <v>1</v>
      </c>
      <c r="G17">
        <f t="shared" si="0"/>
        <v>83.3</v>
      </c>
    </row>
    <row r="18" spans="1:8" x14ac:dyDescent="0.2">
      <c r="A18" t="s">
        <v>28</v>
      </c>
      <c r="B18" t="s">
        <v>29</v>
      </c>
      <c r="C18">
        <v>40</v>
      </c>
      <c r="D18">
        <v>5</v>
      </c>
      <c r="E18">
        <v>0</v>
      </c>
      <c r="G18">
        <f t="shared" si="0"/>
        <v>60</v>
      </c>
      <c r="H18">
        <f>AVERAGE(G18:G23)</f>
        <v>76.55</v>
      </c>
    </row>
    <row r="19" spans="1:8" x14ac:dyDescent="0.2">
      <c r="A19" t="s">
        <v>28</v>
      </c>
      <c r="B19" t="s">
        <v>30</v>
      </c>
      <c r="C19">
        <v>34.200000000000003</v>
      </c>
      <c r="D19">
        <v>38</v>
      </c>
      <c r="E19">
        <v>9</v>
      </c>
      <c r="G19">
        <f t="shared" si="0"/>
        <v>65.8</v>
      </c>
    </row>
    <row r="20" spans="1:8" x14ac:dyDescent="0.2">
      <c r="A20" t="s">
        <v>28</v>
      </c>
      <c r="B20" t="s">
        <v>31</v>
      </c>
      <c r="C20">
        <v>21.7</v>
      </c>
      <c r="D20">
        <v>23</v>
      </c>
      <c r="E20">
        <v>2</v>
      </c>
      <c r="G20">
        <f t="shared" si="0"/>
        <v>78.3</v>
      </c>
    </row>
    <row r="21" spans="1:8" x14ac:dyDescent="0.2">
      <c r="A21" t="s">
        <v>28</v>
      </c>
      <c r="B21" t="s">
        <v>32</v>
      </c>
      <c r="C21">
        <v>16.7</v>
      </c>
      <c r="D21">
        <v>12</v>
      </c>
      <c r="E21">
        <v>1</v>
      </c>
      <c r="G21">
        <f t="shared" si="0"/>
        <v>83.3</v>
      </c>
    </row>
    <row r="22" spans="1:8" x14ac:dyDescent="0.2">
      <c r="A22" t="s">
        <v>28</v>
      </c>
      <c r="B22" t="s">
        <v>33</v>
      </c>
      <c r="C22">
        <v>15.7</v>
      </c>
      <c r="D22">
        <v>115</v>
      </c>
      <c r="E22">
        <v>2</v>
      </c>
      <c r="G22">
        <f t="shared" si="0"/>
        <v>84.3</v>
      </c>
    </row>
    <row r="23" spans="1:8" x14ac:dyDescent="0.2">
      <c r="A23" t="s">
        <v>28</v>
      </c>
      <c r="B23" t="s">
        <v>34</v>
      </c>
      <c r="C23">
        <v>12.4</v>
      </c>
      <c r="D23">
        <v>290</v>
      </c>
      <c r="E23">
        <v>8</v>
      </c>
      <c r="G23">
        <f t="shared" si="0"/>
        <v>87.6</v>
      </c>
    </row>
    <row r="24" spans="1:8" x14ac:dyDescent="0.2">
      <c r="A24" t="s">
        <v>35</v>
      </c>
      <c r="B24" t="s">
        <v>36</v>
      </c>
      <c r="C24">
        <v>42.9</v>
      </c>
      <c r="D24">
        <v>7</v>
      </c>
      <c r="E24">
        <v>1</v>
      </c>
      <c r="G24">
        <f t="shared" si="0"/>
        <v>57.1</v>
      </c>
    </row>
    <row r="25" spans="1:8" x14ac:dyDescent="0.2">
      <c r="A25" t="s">
        <v>37</v>
      </c>
      <c r="B25" t="s">
        <v>38</v>
      </c>
      <c r="C25">
        <v>42.5</v>
      </c>
      <c r="D25">
        <v>374</v>
      </c>
      <c r="E25">
        <v>78</v>
      </c>
      <c r="G25">
        <f t="shared" si="0"/>
        <v>57.5</v>
      </c>
    </row>
    <row r="26" spans="1:8" x14ac:dyDescent="0.2">
      <c r="A26" t="s">
        <v>37</v>
      </c>
      <c r="B26" t="s">
        <v>39</v>
      </c>
      <c r="C26">
        <v>38.4</v>
      </c>
      <c r="D26">
        <v>544</v>
      </c>
      <c r="E26">
        <v>157</v>
      </c>
      <c r="G26">
        <f t="shared" si="0"/>
        <v>61.6</v>
      </c>
    </row>
    <row r="27" spans="1:8" x14ac:dyDescent="0.2">
      <c r="A27" t="s">
        <v>37</v>
      </c>
      <c r="B27" t="s">
        <v>40</v>
      </c>
      <c r="C27">
        <v>30.8</v>
      </c>
      <c r="D27">
        <v>13</v>
      </c>
      <c r="E27">
        <v>4</v>
      </c>
      <c r="G27">
        <f t="shared" si="0"/>
        <v>69.2</v>
      </c>
    </row>
    <row r="28" spans="1:8" x14ac:dyDescent="0.2">
      <c r="A28" t="s">
        <v>37</v>
      </c>
      <c r="B28" t="s">
        <v>41</v>
      </c>
      <c r="C28">
        <v>20</v>
      </c>
      <c r="D28">
        <v>5</v>
      </c>
      <c r="E28">
        <v>0</v>
      </c>
      <c r="G28">
        <f t="shared" si="0"/>
        <v>80</v>
      </c>
    </row>
    <row r="29" spans="1:8" x14ac:dyDescent="0.2">
      <c r="A29" t="s">
        <v>42</v>
      </c>
      <c r="B29" t="s">
        <v>43</v>
      </c>
      <c r="C29">
        <v>100</v>
      </c>
      <c r="D29">
        <v>1</v>
      </c>
      <c r="E29">
        <v>0</v>
      </c>
      <c r="G29">
        <f t="shared" si="0"/>
        <v>0</v>
      </c>
    </row>
    <row r="30" spans="1:8" x14ac:dyDescent="0.2">
      <c r="A30" t="s">
        <v>42</v>
      </c>
      <c r="B30" t="s">
        <v>44</v>
      </c>
      <c r="C30">
        <v>100</v>
      </c>
      <c r="D30">
        <v>1</v>
      </c>
      <c r="E30">
        <v>2</v>
      </c>
      <c r="G30">
        <f t="shared" si="0"/>
        <v>0</v>
      </c>
    </row>
    <row r="31" spans="1:8" x14ac:dyDescent="0.2">
      <c r="A31" t="s">
        <v>42</v>
      </c>
      <c r="B31" t="s">
        <v>45</v>
      </c>
      <c r="C31">
        <v>60</v>
      </c>
      <c r="D31">
        <v>5</v>
      </c>
      <c r="E31">
        <v>3</v>
      </c>
      <c r="G31">
        <f t="shared" si="0"/>
        <v>40</v>
      </c>
    </row>
    <row r="32" spans="1:8" x14ac:dyDescent="0.2">
      <c r="A32" t="s">
        <v>42</v>
      </c>
      <c r="B32" t="s">
        <v>46</v>
      </c>
      <c r="C32">
        <v>55.6</v>
      </c>
      <c r="D32">
        <v>18</v>
      </c>
      <c r="E32">
        <v>1</v>
      </c>
      <c r="G32">
        <f t="shared" si="0"/>
        <v>44.4</v>
      </c>
    </row>
    <row r="33" spans="1:8" x14ac:dyDescent="0.2">
      <c r="A33" t="s">
        <v>42</v>
      </c>
      <c r="B33" t="s">
        <v>47</v>
      </c>
      <c r="C33">
        <v>53.3</v>
      </c>
      <c r="D33">
        <v>15</v>
      </c>
      <c r="E33">
        <v>0</v>
      </c>
      <c r="G33">
        <f t="shared" si="0"/>
        <v>46.7</v>
      </c>
    </row>
    <row r="34" spans="1:8" x14ac:dyDescent="0.2">
      <c r="A34" t="s">
        <v>42</v>
      </c>
      <c r="B34" t="s">
        <v>48</v>
      </c>
      <c r="C34">
        <v>50</v>
      </c>
      <c r="D34">
        <v>10</v>
      </c>
      <c r="E34">
        <v>4</v>
      </c>
      <c r="G34">
        <f t="shared" si="0"/>
        <v>50</v>
      </c>
    </row>
    <row r="35" spans="1:8" x14ac:dyDescent="0.2">
      <c r="A35" t="s">
        <v>42</v>
      </c>
      <c r="B35" t="s">
        <v>49</v>
      </c>
      <c r="C35">
        <v>33.299999999999997</v>
      </c>
      <c r="D35">
        <v>3</v>
      </c>
      <c r="E35">
        <v>1</v>
      </c>
      <c r="G35">
        <f t="shared" si="0"/>
        <v>66.7</v>
      </c>
    </row>
    <row r="36" spans="1:8" x14ac:dyDescent="0.2">
      <c r="A36" t="s">
        <v>42</v>
      </c>
      <c r="B36" t="s">
        <v>50</v>
      </c>
      <c r="C36">
        <v>31.4</v>
      </c>
      <c r="D36">
        <v>35</v>
      </c>
      <c r="E36">
        <v>2</v>
      </c>
      <c r="G36">
        <f t="shared" si="0"/>
        <v>68.599999999999994</v>
      </c>
    </row>
    <row r="37" spans="1:8" x14ac:dyDescent="0.2">
      <c r="A37" t="s">
        <v>42</v>
      </c>
      <c r="B37" t="s">
        <v>51</v>
      </c>
      <c r="C37">
        <v>20</v>
      </c>
      <c r="D37">
        <v>5</v>
      </c>
      <c r="E37">
        <v>2</v>
      </c>
      <c r="G37">
        <f t="shared" si="0"/>
        <v>80</v>
      </c>
    </row>
    <row r="38" spans="1:8" x14ac:dyDescent="0.2">
      <c r="A38" t="s">
        <v>42</v>
      </c>
      <c r="B38" t="s">
        <v>52</v>
      </c>
      <c r="C38">
        <v>20</v>
      </c>
      <c r="D38">
        <v>15</v>
      </c>
      <c r="E38">
        <v>1</v>
      </c>
      <c r="G38">
        <f t="shared" si="0"/>
        <v>80</v>
      </c>
    </row>
    <row r="39" spans="1:8" x14ac:dyDescent="0.2">
      <c r="A39" t="s">
        <v>53</v>
      </c>
      <c r="B39" t="s">
        <v>54</v>
      </c>
      <c r="C39">
        <v>36.4</v>
      </c>
      <c r="D39">
        <v>11</v>
      </c>
      <c r="E39">
        <v>6</v>
      </c>
      <c r="G39">
        <f t="shared" si="0"/>
        <v>63.6</v>
      </c>
    </row>
    <row r="40" spans="1:8" x14ac:dyDescent="0.2">
      <c r="A40" t="s">
        <v>55</v>
      </c>
      <c r="B40" t="s">
        <v>56</v>
      </c>
      <c r="C40">
        <v>33.299999999999997</v>
      </c>
      <c r="D40">
        <v>3</v>
      </c>
      <c r="E40">
        <v>0</v>
      </c>
      <c r="G40">
        <f t="shared" si="0"/>
        <v>66.7</v>
      </c>
    </row>
    <row r="41" spans="1:8" x14ac:dyDescent="0.2">
      <c r="A41" t="s">
        <v>57</v>
      </c>
      <c r="B41" t="s">
        <v>58</v>
      </c>
      <c r="C41">
        <v>33.299999999999997</v>
      </c>
      <c r="D41">
        <v>12</v>
      </c>
      <c r="E41">
        <v>1</v>
      </c>
      <c r="G41">
        <f t="shared" si="0"/>
        <v>66.7</v>
      </c>
    </row>
    <row r="42" spans="1:8" x14ac:dyDescent="0.2">
      <c r="A42" t="s">
        <v>59</v>
      </c>
      <c r="B42" t="s">
        <v>60</v>
      </c>
      <c r="C42">
        <v>25</v>
      </c>
      <c r="D42">
        <v>4</v>
      </c>
      <c r="E42">
        <v>2</v>
      </c>
      <c r="G42">
        <f t="shared" si="0"/>
        <v>75</v>
      </c>
    </row>
    <row r="43" spans="1:8" x14ac:dyDescent="0.2">
      <c r="A43" t="s">
        <v>61</v>
      </c>
      <c r="B43" t="s">
        <v>62</v>
      </c>
      <c r="C43">
        <v>100</v>
      </c>
      <c r="D43">
        <v>1</v>
      </c>
      <c r="E43">
        <v>1</v>
      </c>
      <c r="G43">
        <f t="shared" si="0"/>
        <v>0</v>
      </c>
    </row>
    <row r="44" spans="1:8" x14ac:dyDescent="0.2">
      <c r="A44" t="s">
        <v>63</v>
      </c>
      <c r="B44" t="s">
        <v>64</v>
      </c>
      <c r="C44">
        <v>66.7</v>
      </c>
      <c r="D44">
        <v>6</v>
      </c>
      <c r="E44">
        <v>1</v>
      </c>
      <c r="G44">
        <f t="shared" si="0"/>
        <v>33.299999999999997</v>
      </c>
      <c r="H44">
        <f>AVERAGE(G44:G49)</f>
        <v>54.666666666666664</v>
      </c>
    </row>
    <row r="45" spans="1:8" x14ac:dyDescent="0.2">
      <c r="A45" t="s">
        <v>63</v>
      </c>
      <c r="B45" t="s">
        <v>65</v>
      </c>
      <c r="C45">
        <v>64.3</v>
      </c>
      <c r="D45">
        <v>14</v>
      </c>
      <c r="E45">
        <v>1</v>
      </c>
      <c r="G45">
        <f t="shared" si="0"/>
        <v>35.700000000000003</v>
      </c>
    </row>
    <row r="46" spans="1:8" x14ac:dyDescent="0.2">
      <c r="A46" t="s">
        <v>63</v>
      </c>
      <c r="B46" t="s">
        <v>66</v>
      </c>
      <c r="C46">
        <v>40.700000000000003</v>
      </c>
      <c r="D46">
        <v>27</v>
      </c>
      <c r="E46">
        <v>9</v>
      </c>
      <c r="G46">
        <f t="shared" si="0"/>
        <v>59.3</v>
      </c>
    </row>
    <row r="47" spans="1:8" x14ac:dyDescent="0.2">
      <c r="A47" t="s">
        <v>63</v>
      </c>
      <c r="B47" t="s">
        <v>67</v>
      </c>
      <c r="C47">
        <v>34.700000000000003</v>
      </c>
      <c r="D47">
        <v>101</v>
      </c>
      <c r="E47">
        <v>8</v>
      </c>
      <c r="G47">
        <f t="shared" si="0"/>
        <v>65.3</v>
      </c>
    </row>
    <row r="48" spans="1:8" x14ac:dyDescent="0.2">
      <c r="A48" t="s">
        <v>63</v>
      </c>
      <c r="B48" t="s">
        <v>68</v>
      </c>
      <c r="C48">
        <v>33.299999999999997</v>
      </c>
      <c r="D48">
        <v>3</v>
      </c>
      <c r="E48">
        <v>1</v>
      </c>
      <c r="G48">
        <f t="shared" si="0"/>
        <v>66.7</v>
      </c>
    </row>
    <row r="49" spans="1:7" x14ac:dyDescent="0.2">
      <c r="A49" t="s">
        <v>63</v>
      </c>
      <c r="B49" t="s">
        <v>69</v>
      </c>
      <c r="C49">
        <v>32.299999999999997</v>
      </c>
      <c r="D49">
        <v>93</v>
      </c>
      <c r="E49">
        <v>12</v>
      </c>
      <c r="G49">
        <f t="shared" si="0"/>
        <v>67.7</v>
      </c>
    </row>
    <row r="50" spans="1:7" x14ac:dyDescent="0.2">
      <c r="A50" t="s">
        <v>70</v>
      </c>
      <c r="B50" t="s">
        <v>71</v>
      </c>
      <c r="C50">
        <v>100</v>
      </c>
      <c r="D50">
        <v>2</v>
      </c>
      <c r="E50">
        <v>0</v>
      </c>
      <c r="G50">
        <f t="shared" si="0"/>
        <v>0</v>
      </c>
    </row>
    <row r="51" spans="1:7" x14ac:dyDescent="0.2">
      <c r="A51" t="s">
        <v>72</v>
      </c>
      <c r="B51" t="s">
        <v>73</v>
      </c>
      <c r="C51">
        <v>50</v>
      </c>
      <c r="D51">
        <v>2</v>
      </c>
      <c r="E51">
        <v>1</v>
      </c>
      <c r="G51">
        <f t="shared" si="0"/>
        <v>50</v>
      </c>
    </row>
    <row r="52" spans="1:7" x14ac:dyDescent="0.2">
      <c r="A52" t="s">
        <v>74</v>
      </c>
      <c r="B52" t="s">
        <v>75</v>
      </c>
      <c r="C52">
        <v>11.1</v>
      </c>
      <c r="D52">
        <v>9</v>
      </c>
      <c r="E52">
        <v>1</v>
      </c>
      <c r="G52">
        <f t="shared" si="0"/>
        <v>88.9</v>
      </c>
    </row>
    <row r="53" spans="1:7" x14ac:dyDescent="0.2">
      <c r="A53" t="s">
        <v>76</v>
      </c>
      <c r="B53" t="s">
        <v>77</v>
      </c>
      <c r="C53">
        <v>100</v>
      </c>
      <c r="D53">
        <v>5</v>
      </c>
      <c r="E53">
        <v>9</v>
      </c>
      <c r="G53">
        <f t="shared" si="0"/>
        <v>0</v>
      </c>
    </row>
    <row r="54" spans="1:7" x14ac:dyDescent="0.2">
      <c r="G54">
        <f>AVERAGE(G2:G53)</f>
        <v>45.70384615384615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2023-11-20T17:02:32Z</dcterms:created>
  <dcterms:modified xsi:type="dcterms:W3CDTF">2023-11-30T16:43:02Z</dcterms:modified>
</cp:coreProperties>
</file>