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eniseong/Documents/GitHub/Cruise-New-Zealand-TAN1810/R_sediment_traps/"/>
    </mc:Choice>
  </mc:AlternateContent>
  <xr:revisionPtr revIDLastSave="0" documentId="13_ncr:1_{94101E7A-C1AB-F94A-8FBF-9856D25F31E0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Sheet1!$A$1:$S$94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3" i="1" l="1"/>
  <c r="M93" i="1"/>
  <c r="N37" i="1"/>
  <c r="N72" i="1"/>
  <c r="N73" i="1"/>
  <c r="N74" i="1"/>
  <c r="N75" i="1"/>
  <c r="R75" i="1" s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8" i="1"/>
  <c r="N39" i="1"/>
  <c r="N40" i="1"/>
  <c r="N41" i="1"/>
  <c r="N42" i="1"/>
  <c r="N43" i="1"/>
  <c r="N4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6" i="1"/>
  <c r="M7" i="1"/>
  <c r="M8" i="1"/>
  <c r="M9" i="1"/>
  <c r="M10" i="1"/>
  <c r="M11" i="1"/>
  <c r="M12" i="1"/>
  <c r="M13" i="1"/>
  <c r="M14" i="1"/>
  <c r="M15" i="1"/>
  <c r="M16" i="1"/>
  <c r="O16" i="1" s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O38" i="1" s="1"/>
  <c r="M39" i="1"/>
  <c r="M40" i="1"/>
  <c r="M41" i="1"/>
  <c r="O41" i="1" s="1"/>
  <c r="M42" i="1"/>
  <c r="M43" i="1"/>
  <c r="M44" i="1"/>
  <c r="M45" i="1"/>
  <c r="L74" i="1"/>
  <c r="L75" i="1"/>
  <c r="L76" i="1"/>
  <c r="R76" i="1" s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7" i="1"/>
  <c r="L9" i="1"/>
  <c r="L11" i="1"/>
  <c r="L13" i="1"/>
  <c r="L15" i="1"/>
  <c r="L17" i="1"/>
  <c r="L93" i="1" s="1"/>
  <c r="L19" i="1"/>
  <c r="R19" i="1" s="1"/>
  <c r="L21" i="1"/>
  <c r="L23" i="1"/>
  <c r="R23" i="1" s="1"/>
  <c r="L25" i="1"/>
  <c r="L27" i="1"/>
  <c r="L29" i="1"/>
  <c r="L31" i="1"/>
  <c r="L33" i="1"/>
  <c r="R6" i="1"/>
  <c r="R7" i="1"/>
  <c r="R13" i="1"/>
  <c r="R31" i="1"/>
  <c r="R32" i="1"/>
  <c r="R33" i="1"/>
  <c r="R86" i="1"/>
  <c r="R87" i="1"/>
  <c r="R89" i="1"/>
  <c r="L3" i="1"/>
  <c r="M3" i="1"/>
  <c r="N3" i="1"/>
  <c r="L4" i="1"/>
  <c r="M4" i="1"/>
  <c r="N4" i="1"/>
  <c r="L5" i="1"/>
  <c r="M5" i="1"/>
  <c r="N5" i="1"/>
  <c r="O8" i="1"/>
  <c r="O21" i="1"/>
  <c r="O22" i="1"/>
  <c r="O26" i="1"/>
  <c r="O30" i="1"/>
  <c r="L34" i="1"/>
  <c r="O34" i="1"/>
  <c r="L35" i="1"/>
  <c r="L36" i="1"/>
  <c r="L37" i="1"/>
  <c r="L38" i="1"/>
  <c r="L39" i="1"/>
  <c r="L40" i="1"/>
  <c r="L41" i="1"/>
  <c r="L42" i="1"/>
  <c r="O42" i="1"/>
  <c r="L43" i="1"/>
  <c r="L44" i="1"/>
  <c r="L45" i="1"/>
  <c r="O45" i="1"/>
  <c r="N45" i="1"/>
  <c r="L51" i="1"/>
  <c r="M51" i="1"/>
  <c r="N51" i="1"/>
  <c r="L52" i="1"/>
  <c r="M52" i="1"/>
  <c r="N52" i="1"/>
  <c r="L53" i="1"/>
  <c r="M53" i="1"/>
  <c r="O53" i="1" s="1"/>
  <c r="N53" i="1"/>
  <c r="L54" i="1"/>
  <c r="M54" i="1"/>
  <c r="O54" i="1" s="1"/>
  <c r="N54" i="1"/>
  <c r="L55" i="1"/>
  <c r="M55" i="1"/>
  <c r="N55" i="1"/>
  <c r="L56" i="1"/>
  <c r="M56" i="1"/>
  <c r="N56" i="1"/>
  <c r="L57" i="1"/>
  <c r="M57" i="1"/>
  <c r="O57" i="1" s="1"/>
  <c r="N57" i="1"/>
  <c r="L58" i="1"/>
  <c r="M58" i="1"/>
  <c r="O58" i="1" s="1"/>
  <c r="N58" i="1"/>
  <c r="L59" i="1"/>
  <c r="M59" i="1"/>
  <c r="N59" i="1"/>
  <c r="L60" i="1"/>
  <c r="M60" i="1"/>
  <c r="N60" i="1"/>
  <c r="L61" i="1"/>
  <c r="M61" i="1"/>
  <c r="O61" i="1" s="1"/>
  <c r="N61" i="1"/>
  <c r="L62" i="1"/>
  <c r="M62" i="1"/>
  <c r="O62" i="1" s="1"/>
  <c r="N62" i="1"/>
  <c r="L63" i="1"/>
  <c r="M63" i="1"/>
  <c r="N63" i="1"/>
  <c r="R63" i="1" s="1"/>
  <c r="L64" i="1"/>
  <c r="M64" i="1"/>
  <c r="N64" i="1"/>
  <c r="L65" i="1"/>
  <c r="M65" i="1"/>
  <c r="O65" i="1" s="1"/>
  <c r="N65" i="1"/>
  <c r="L66" i="1"/>
  <c r="M66" i="1"/>
  <c r="O66" i="1" s="1"/>
  <c r="N66" i="1"/>
  <c r="L67" i="1"/>
  <c r="M67" i="1"/>
  <c r="N67" i="1"/>
  <c r="L68" i="1"/>
  <c r="M68" i="1"/>
  <c r="N68" i="1"/>
  <c r="L69" i="1"/>
  <c r="M69" i="1"/>
  <c r="O69" i="1" s="1"/>
  <c r="N69" i="1"/>
  <c r="L70" i="1"/>
  <c r="M70" i="1"/>
  <c r="O70" i="1" s="1"/>
  <c r="N70" i="1"/>
  <c r="L71" i="1"/>
  <c r="M71" i="1"/>
  <c r="N71" i="1"/>
  <c r="L72" i="1"/>
  <c r="M72" i="1"/>
  <c r="L73" i="1"/>
  <c r="M73" i="1"/>
  <c r="O73" i="1" s="1"/>
  <c r="M74" i="1"/>
  <c r="O74" i="1" s="1"/>
  <c r="O80" i="1"/>
  <c r="L90" i="1"/>
  <c r="O90" i="1"/>
  <c r="L91" i="1"/>
  <c r="M91" i="1"/>
  <c r="L92" i="1"/>
  <c r="M92" i="1"/>
  <c r="O92" i="1" s="1"/>
  <c r="N2" i="1"/>
  <c r="M2" i="1"/>
  <c r="L2" i="1"/>
  <c r="D93" i="1"/>
  <c r="E93" i="1"/>
  <c r="F93" i="1"/>
  <c r="G93" i="1"/>
  <c r="H93" i="1"/>
  <c r="I93" i="1"/>
  <c r="J93" i="1"/>
  <c r="C93" i="1"/>
  <c r="R78" i="1" l="1"/>
  <c r="R85" i="1"/>
  <c r="O85" i="1"/>
  <c r="O84" i="1"/>
  <c r="O17" i="1"/>
  <c r="R45" i="1"/>
  <c r="R57" i="1"/>
  <c r="R74" i="1"/>
  <c r="R62" i="1"/>
  <c r="R38" i="1"/>
  <c r="R27" i="1"/>
  <c r="O88" i="1"/>
  <c r="O82" i="1"/>
  <c r="O77" i="1"/>
  <c r="O72" i="1"/>
  <c r="O68" i="1"/>
  <c r="O64" i="1"/>
  <c r="O60" i="1"/>
  <c r="O56" i="1"/>
  <c r="O52" i="1"/>
  <c r="O44" i="1"/>
  <c r="O40" i="1"/>
  <c r="O36" i="1"/>
  <c r="O29" i="1"/>
  <c r="O25" i="1"/>
  <c r="O20" i="1"/>
  <c r="O10" i="1"/>
  <c r="O4" i="1"/>
  <c r="R73" i="1"/>
  <c r="R69" i="1"/>
  <c r="R61" i="1"/>
  <c r="R37" i="1"/>
  <c r="P26" i="1"/>
  <c r="R21" i="1"/>
  <c r="P92" i="1"/>
  <c r="P81" i="1"/>
  <c r="P71" i="1"/>
  <c r="P67" i="1"/>
  <c r="P59" i="1"/>
  <c r="R55" i="1"/>
  <c r="R51" i="1"/>
  <c r="P43" i="1"/>
  <c r="R39" i="1"/>
  <c r="P35" i="1"/>
  <c r="P28" i="1"/>
  <c r="P24" i="1"/>
  <c r="P18" i="1"/>
  <c r="R14" i="1"/>
  <c r="P9" i="1"/>
  <c r="P3" i="1"/>
  <c r="P91" i="1"/>
  <c r="P84" i="1"/>
  <c r="P80" i="1"/>
  <c r="P70" i="1"/>
  <c r="P66" i="1"/>
  <c r="P58" i="1"/>
  <c r="P54" i="1"/>
  <c r="P42" i="1"/>
  <c r="P34" i="1"/>
  <c r="P22" i="1"/>
  <c r="P17" i="1"/>
  <c r="P12" i="1"/>
  <c r="P8" i="1"/>
  <c r="O5" i="1"/>
  <c r="O12" i="1"/>
  <c r="O81" i="1"/>
  <c r="O75" i="1"/>
  <c r="O63" i="1"/>
  <c r="O51" i="1"/>
  <c r="O28" i="1"/>
  <c r="P93" i="1"/>
  <c r="P2" i="1"/>
  <c r="R56" i="1"/>
  <c r="P27" i="1"/>
  <c r="R11" i="1"/>
  <c r="R88" i="1"/>
  <c r="R72" i="1"/>
  <c r="R64" i="1"/>
  <c r="R52" i="1"/>
  <c r="R44" i="1"/>
  <c r="R29" i="1"/>
  <c r="R20" i="1"/>
  <c r="R10" i="1"/>
  <c r="R70" i="1"/>
  <c r="P79" i="1"/>
  <c r="P15" i="1"/>
  <c r="R82" i="1"/>
  <c r="R77" i="1"/>
  <c r="R68" i="1"/>
  <c r="R60" i="1"/>
  <c r="R40" i="1"/>
  <c r="R36" i="1"/>
  <c r="R25" i="1"/>
  <c r="R4" i="1"/>
  <c r="R2" i="1"/>
  <c r="R24" i="1"/>
  <c r="O24" i="1"/>
  <c r="O18" i="1"/>
  <c r="O14" i="1"/>
  <c r="O9" i="1"/>
  <c r="R58" i="1"/>
  <c r="R22" i="1"/>
  <c r="R84" i="1"/>
  <c r="P90" i="1"/>
  <c r="P83" i="1"/>
  <c r="R79" i="1"/>
  <c r="P69" i="1"/>
  <c r="P65" i="1"/>
  <c r="P57" i="1"/>
  <c r="P53" i="1"/>
  <c r="P45" i="1"/>
  <c r="P41" i="1"/>
  <c r="P30" i="1"/>
  <c r="R26" i="1"/>
  <c r="P21" i="1"/>
  <c r="P16" i="1"/>
  <c r="P11" i="1"/>
  <c r="P5" i="1"/>
  <c r="R83" i="1"/>
  <c r="R12" i="1"/>
  <c r="R34" i="1"/>
  <c r="P75" i="1"/>
  <c r="R15" i="1"/>
  <c r="P74" i="1"/>
  <c r="O43" i="1"/>
  <c r="R81" i="1"/>
  <c r="R9" i="1"/>
  <c r="R92" i="1"/>
  <c r="R80" i="1"/>
  <c r="R8" i="1"/>
  <c r="P55" i="1"/>
  <c r="R91" i="1"/>
  <c r="R67" i="1"/>
  <c r="R43" i="1"/>
  <c r="O15" i="1"/>
  <c r="R59" i="1"/>
  <c r="O67" i="1"/>
  <c r="O39" i="1"/>
  <c r="O3" i="1"/>
  <c r="O91" i="1"/>
  <c r="O27" i="1"/>
  <c r="P51" i="1"/>
  <c r="R90" i="1"/>
  <c r="R66" i="1"/>
  <c r="R54" i="1"/>
  <c r="R42" i="1"/>
  <c r="R30" i="1"/>
  <c r="R18" i="1"/>
  <c r="P14" i="1"/>
  <c r="O71" i="1"/>
  <c r="P62" i="1"/>
  <c r="R65" i="1"/>
  <c r="R53" i="1"/>
  <c r="R41" i="1"/>
  <c r="R17" i="1"/>
  <c r="R5" i="1"/>
  <c r="P63" i="1"/>
  <c r="R71" i="1"/>
  <c r="P37" i="1"/>
  <c r="R28" i="1"/>
  <c r="R16" i="1"/>
  <c r="O2" i="1"/>
  <c r="O83" i="1"/>
  <c r="O79" i="1"/>
  <c r="O11" i="1"/>
  <c r="P39" i="1"/>
  <c r="R3" i="1"/>
  <c r="R35" i="1"/>
  <c r="O59" i="1"/>
  <c r="O55" i="1"/>
  <c r="O35" i="1"/>
  <c r="P88" i="1"/>
  <c r="P82" i="1"/>
  <c r="P77" i="1"/>
  <c r="P72" i="1"/>
  <c r="P68" i="1"/>
  <c r="P64" i="1"/>
  <c r="P60" i="1"/>
  <c r="P56" i="1"/>
  <c r="P52" i="1"/>
  <c r="P44" i="1"/>
  <c r="P40" i="1"/>
  <c r="P36" i="1"/>
  <c r="P29" i="1"/>
  <c r="P20" i="1"/>
  <c r="P10" i="1"/>
  <c r="P4" i="1"/>
  <c r="P38" i="1"/>
  <c r="P85" i="1"/>
  <c r="P61" i="1"/>
  <c r="P73" i="1"/>
  <c r="P25" i="1"/>
  <c r="O37" i="1"/>
  <c r="O93" i="1" l="1"/>
  <c r="R93" i="1"/>
</calcChain>
</file>

<file path=xl/sharedStrings.xml><?xml version="1.0" encoding="utf-8"?>
<sst xmlns="http://schemas.openxmlformats.org/spreadsheetml/2006/main" count="201" uniqueCount="139">
  <si>
    <t>subdivision</t>
  </si>
  <si>
    <t>class</t>
  </si>
  <si>
    <t>all</t>
  </si>
  <si>
    <t>water and trap</t>
  </si>
  <si>
    <t>trap and sediment</t>
  </si>
  <si>
    <t>water and sediment</t>
  </si>
  <si>
    <t>water_CTD</t>
  </si>
  <si>
    <t>trap_fix</t>
  </si>
  <si>
    <t>core</t>
  </si>
  <si>
    <t>total</t>
  </si>
  <si>
    <t>Alveolata_X</t>
  </si>
  <si>
    <t>Alveolata_XX</t>
  </si>
  <si>
    <t>Ellobiopsidae</t>
  </si>
  <si>
    <t>Ancyromonadida_X</t>
  </si>
  <si>
    <t>Ancyromonadida_XX</t>
  </si>
  <si>
    <t>Apicomplexa</t>
  </si>
  <si>
    <t>Apicomplexa_X</t>
  </si>
  <si>
    <t>Coccidiomorphea</t>
  </si>
  <si>
    <t>Gregarinomorphea</t>
  </si>
  <si>
    <t>Apusomonada_X</t>
  </si>
  <si>
    <t>Apusomonadidae</t>
  </si>
  <si>
    <t>Archaeplastida_XX</t>
  </si>
  <si>
    <t>Archaeplastida_XXX</t>
  </si>
  <si>
    <t>Bigyra</t>
  </si>
  <si>
    <t>Bicoecea</t>
  </si>
  <si>
    <t>Opalozoa</t>
  </si>
  <si>
    <t>Sagenista</t>
  </si>
  <si>
    <t>Breviatea_X</t>
  </si>
  <si>
    <t>Breviatea_XX</t>
  </si>
  <si>
    <t>Centroplasthelida_X</t>
  </si>
  <si>
    <t>Centroplasthelida_XX</t>
  </si>
  <si>
    <t>Pterocystida</t>
  </si>
  <si>
    <t>Cercozoa</t>
  </si>
  <si>
    <t>Cercozoa_X</t>
  </si>
  <si>
    <t>Chlorarachniophyceae</t>
  </si>
  <si>
    <t>Endomyxa</t>
  </si>
  <si>
    <t>Endomyxa-Phytomyxea</t>
  </si>
  <si>
    <t>Filosa-Granofilosea</t>
  </si>
  <si>
    <t>Filosa-Imbricatea</t>
  </si>
  <si>
    <t>Filosa-Thecofilosea</t>
  </si>
  <si>
    <t>Phaeodarea</t>
  </si>
  <si>
    <t>Chlorophyta_X</t>
  </si>
  <si>
    <t>Chlorophyta_XX</t>
  </si>
  <si>
    <t>Chloropicophyceae</t>
  </si>
  <si>
    <t>Mamiellophyceae</t>
  </si>
  <si>
    <t>Prasino-Clade-VIII</t>
  </si>
  <si>
    <t>Pyramimonadophyceae</t>
  </si>
  <si>
    <t>Trebouxiophyceae</t>
  </si>
  <si>
    <t>Choanoflagellata</t>
  </si>
  <si>
    <t>Choanoflagellatea</t>
  </si>
  <si>
    <t>Ciliophora</t>
  </si>
  <si>
    <t>CONTH_1</t>
  </si>
  <si>
    <t>CONTH_3</t>
  </si>
  <si>
    <t>CONTH_6</t>
  </si>
  <si>
    <t>CONTH_8</t>
  </si>
  <si>
    <t>CONThreeP</t>
  </si>
  <si>
    <t>Ciliophora_X</t>
  </si>
  <si>
    <t>Cyclotrichium_like_organism</t>
  </si>
  <si>
    <t>Heterotrichea</t>
  </si>
  <si>
    <t>Litostomatea</t>
  </si>
  <si>
    <t>Oligohymenophorea</t>
  </si>
  <si>
    <t>Phyllopharyngea</t>
  </si>
  <si>
    <t>Prostomatea</t>
  </si>
  <si>
    <t>Prostomatea_1</t>
  </si>
  <si>
    <t>Spirotrichea</t>
  </si>
  <si>
    <t>Cryptophyta_X</t>
  </si>
  <si>
    <t>Cryptophyceae</t>
  </si>
  <si>
    <t>Dinoflagellata</t>
  </si>
  <si>
    <t>Dinoflagellata_X</t>
  </si>
  <si>
    <t>Dinophyceae</t>
  </si>
  <si>
    <t>Dinophyta_X</t>
  </si>
  <si>
    <t>Noctilucophyceae</t>
  </si>
  <si>
    <t>Syndiniales</t>
  </si>
  <si>
    <t>Gyrista</t>
  </si>
  <si>
    <t>Bacillariophyceae</t>
  </si>
  <si>
    <t>Bolidophyceae</t>
  </si>
  <si>
    <t>Chrysophyceae</t>
  </si>
  <si>
    <t>Coscinodiscophyceae</t>
  </si>
  <si>
    <t>Developea</t>
  </si>
  <si>
    <t>Dictyochophyceae</t>
  </si>
  <si>
    <t>Gyrista_X</t>
  </si>
  <si>
    <t>Hyphochytriomyceta</t>
  </si>
  <si>
    <t>MOCH-1</t>
  </si>
  <si>
    <t>MOCH-2</t>
  </si>
  <si>
    <t>MOCH-3</t>
  </si>
  <si>
    <t>MOCH-4</t>
  </si>
  <si>
    <t>MOCH-5</t>
  </si>
  <si>
    <t>Mediophyceae</t>
  </si>
  <si>
    <t>Pelagophyceae</t>
  </si>
  <si>
    <t>Peronosporomycetes</t>
  </si>
  <si>
    <t>Pirsoniales</t>
  </si>
  <si>
    <t>Haptophyta_X</t>
  </si>
  <si>
    <t>Haptophyta_Clade_HAP2</t>
  </si>
  <si>
    <t>Haptophyta_Clade_HAP3</t>
  </si>
  <si>
    <t>Haptophyta_Clade_HAP4</t>
  </si>
  <si>
    <t>Haptophyta_Clade_HAP5</t>
  </si>
  <si>
    <t>Haptophyta_XX</t>
  </si>
  <si>
    <t>Pavlovophyceae</t>
  </si>
  <si>
    <t>Prymnesiophyceae</t>
  </si>
  <si>
    <t>Kathablepharida</t>
  </si>
  <si>
    <t>Kathablepharidea</t>
  </si>
  <si>
    <t>Obazoa_XX</t>
  </si>
  <si>
    <t>Obazoa_XXX</t>
  </si>
  <si>
    <t>Opisthokonta_X</t>
  </si>
  <si>
    <t>Opisthokonta_XX</t>
  </si>
  <si>
    <t>Perkinsea</t>
  </si>
  <si>
    <t>Perkinsida</t>
  </si>
  <si>
    <t>Picozoa_X</t>
  </si>
  <si>
    <t>Picozoa_XX</t>
  </si>
  <si>
    <t>Prasinodermophyta_X</t>
  </si>
  <si>
    <t>Prasinodermophyceae</t>
  </si>
  <si>
    <t>Radiolaria</t>
  </si>
  <si>
    <t>Acantharea</t>
  </si>
  <si>
    <t>Polycystinea</t>
  </si>
  <si>
    <t>RAD-A</t>
  </si>
  <si>
    <t>RAD-B</t>
  </si>
  <si>
    <t>RAD-C</t>
  </si>
  <si>
    <t>Radiolaria_X</t>
  </si>
  <si>
    <t>Rotosphaerida</t>
  </si>
  <si>
    <t>Rotosphaerida_X</t>
  </si>
  <si>
    <t>Stramenopiles_X</t>
  </si>
  <si>
    <t>Stramenopiles_XX</t>
  </si>
  <si>
    <t>Streptophyta_X</t>
  </si>
  <si>
    <t>Embryophyceae</t>
  </si>
  <si>
    <t>TSAR_XX</t>
  </si>
  <si>
    <t>TSAR_XXX</t>
  </si>
  <si>
    <t>Telonemia_X</t>
  </si>
  <si>
    <t>Telonemia_XX</t>
  </si>
  <si>
    <t>Tubulinea_X</t>
  </si>
  <si>
    <t>Elardia</t>
  </si>
  <si>
    <t>Total</t>
  </si>
  <si>
    <t>all from surface</t>
  </si>
  <si>
    <t>exported asvs</t>
  </si>
  <si>
    <t>transported</t>
  </si>
  <si>
    <t>export efficiency</t>
  </si>
  <si>
    <t>trasnfer efficienc</t>
  </si>
  <si>
    <t xml:space="preserve">final proportion of </t>
  </si>
  <si>
    <t>ASVs in sediment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</si>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</sst>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3"/>
  <sheetViews>
    <sheetView tabSelected="1" workbookViewId="0">
      <pane ySplit="1" topLeftCell="A51" activePane="bottomLeft" state="frozen"/>
      <selection pane="bottomLeft" activeCell="N93" sqref="N93"/>
    </sheetView>
  </sheetViews>
  <sheetFormatPr baseColWidth="10" defaultColWidth="8.83203125" defaultRowHeight="15" x14ac:dyDescent="0.2"/>
  <cols>
    <col min="1" max="1" width="18.1640625" bestFit="1" customWidth="1"/>
    <col min="2" max="2" width="23.6640625" bestFit="1" customWidth="1"/>
    <col min="3" max="3" width="8.5" customWidth="1"/>
    <col min="4" max="4" width="12.33203125" bestFit="1" customWidth="1"/>
    <col min="5" max="5" width="15.1640625" bestFit="1" customWidth="1"/>
    <col min="6" max="6" width="16.6640625" bestFit="1" customWidth="1"/>
    <col min="7" max="7" width="9.5" bestFit="1" customWidth="1"/>
    <col min="8" max="8" width="7" bestFit="1" customWidth="1"/>
    <col min="9" max="9" width="4.6640625" bestFit="1" customWidth="1"/>
    <col min="10" max="10" width="5.1640625" bestFit="1" customWidth="1"/>
    <col min="11" max="11" width="5.1640625" customWidth="1"/>
    <col min="12" max="12" width="12.83203125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R1" s="1" t="s">
        <v>136</v>
      </c>
      <c r="S1" s="1" t="s">
        <v>137</v>
      </c>
    </row>
    <row r="2" spans="1:19" x14ac:dyDescent="0.2">
      <c r="A2" t="s">
        <v>10</v>
      </c>
      <c r="B2" t="s">
        <v>11</v>
      </c>
      <c r="C2">
        <v>0</v>
      </c>
      <c r="D2">
        <v>0</v>
      </c>
      <c r="E2">
        <v>0</v>
      </c>
      <c r="F2">
        <v>0</v>
      </c>
      <c r="G2">
        <v>1</v>
      </c>
      <c r="H2">
        <v>3</v>
      </c>
      <c r="I2">
        <v>36</v>
      </c>
      <c r="J2">
        <v>40</v>
      </c>
      <c r="L2">
        <f>G2+D2+C2</f>
        <v>1</v>
      </c>
      <c r="M2">
        <f>D2+C2</f>
        <v>0</v>
      </c>
      <c r="N2">
        <f>C2</f>
        <v>0</v>
      </c>
      <c r="O2">
        <f t="shared" ref="O2:P5" si="0">M2/L2*100</f>
        <v>0</v>
      </c>
      <c r="P2" t="e">
        <f t="shared" si="0"/>
        <v>#DIV/0!</v>
      </c>
      <c r="R2">
        <f t="shared" ref="R2:R33" si="1">N2/L2*100</f>
        <v>0</v>
      </c>
    </row>
    <row r="3" spans="1:19" x14ac:dyDescent="0.2">
      <c r="A3" t="s">
        <v>10</v>
      </c>
      <c r="B3" t="s">
        <v>12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L3">
        <f>G3+D3+C3</f>
        <v>1</v>
      </c>
      <c r="M3">
        <f>D3+C3</f>
        <v>1</v>
      </c>
      <c r="N3">
        <f>C3</f>
        <v>0</v>
      </c>
      <c r="O3">
        <f t="shared" si="0"/>
        <v>100</v>
      </c>
      <c r="P3">
        <f t="shared" si="0"/>
        <v>0</v>
      </c>
      <c r="R3">
        <f t="shared" si="1"/>
        <v>0</v>
      </c>
    </row>
    <row r="4" spans="1:19" x14ac:dyDescent="0.2">
      <c r="A4" t="s">
        <v>13</v>
      </c>
      <c r="B4" t="s">
        <v>14</v>
      </c>
      <c r="C4">
        <v>0</v>
      </c>
      <c r="D4">
        <v>1</v>
      </c>
      <c r="E4">
        <v>0</v>
      </c>
      <c r="F4">
        <v>0</v>
      </c>
      <c r="G4">
        <v>0</v>
      </c>
      <c r="H4">
        <v>2</v>
      </c>
      <c r="I4">
        <v>3</v>
      </c>
      <c r="J4">
        <v>6</v>
      </c>
      <c r="L4">
        <f>G4+D4+C4</f>
        <v>1</v>
      </c>
      <c r="M4">
        <f>D4+C4</f>
        <v>1</v>
      </c>
      <c r="N4">
        <f>C4</f>
        <v>0</v>
      </c>
      <c r="O4">
        <f t="shared" si="0"/>
        <v>100</v>
      </c>
      <c r="P4">
        <f t="shared" si="0"/>
        <v>0</v>
      </c>
      <c r="R4">
        <f t="shared" si="1"/>
        <v>0</v>
      </c>
    </row>
    <row r="5" spans="1:19" x14ac:dyDescent="0.2">
      <c r="A5" t="s">
        <v>15</v>
      </c>
      <c r="B5" t="s">
        <v>16</v>
      </c>
      <c r="C5">
        <v>0</v>
      </c>
      <c r="D5">
        <v>1</v>
      </c>
      <c r="E5">
        <v>0</v>
      </c>
      <c r="F5">
        <v>0</v>
      </c>
      <c r="G5">
        <v>2</v>
      </c>
      <c r="H5">
        <v>0</v>
      </c>
      <c r="I5">
        <v>1</v>
      </c>
      <c r="J5">
        <v>4</v>
      </c>
      <c r="L5">
        <f>G5+D5+C5</f>
        <v>3</v>
      </c>
      <c r="M5">
        <f>D5+C5</f>
        <v>1</v>
      </c>
      <c r="N5">
        <f>C5</f>
        <v>0</v>
      </c>
      <c r="O5">
        <f t="shared" si="0"/>
        <v>33.333333333333329</v>
      </c>
      <c r="P5">
        <f t="shared" si="0"/>
        <v>0</v>
      </c>
      <c r="R5">
        <f t="shared" si="1"/>
        <v>0</v>
      </c>
    </row>
    <row r="6" spans="1:19" x14ac:dyDescent="0.2">
      <c r="A6" t="s">
        <v>15</v>
      </c>
      <c r="B6" t="s">
        <v>17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L6">
        <v>0</v>
      </c>
      <c r="M6">
        <f t="shared" ref="M6:M45" si="2">D6+C6</f>
        <v>0</v>
      </c>
      <c r="N6">
        <f t="shared" ref="N6:N44" si="3">C6</f>
        <v>0</v>
      </c>
      <c r="R6" t="e">
        <f t="shared" si="1"/>
        <v>#DIV/0!</v>
      </c>
    </row>
    <row r="7" spans="1:19" x14ac:dyDescent="0.2">
      <c r="A7" t="s">
        <v>15</v>
      </c>
      <c r="B7" t="s">
        <v>18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19</v>
      </c>
      <c r="J7">
        <v>19</v>
      </c>
      <c r="L7">
        <f t="shared" ref="L7:L33" si="4">G7+D7+C7</f>
        <v>0</v>
      </c>
      <c r="M7">
        <f t="shared" si="2"/>
        <v>0</v>
      </c>
      <c r="N7">
        <f t="shared" si="3"/>
        <v>0</v>
      </c>
      <c r="R7" t="e">
        <f t="shared" si="1"/>
        <v>#DIV/0!</v>
      </c>
    </row>
    <row r="8" spans="1:19" x14ac:dyDescent="0.2">
      <c r="A8" t="s">
        <v>19</v>
      </c>
      <c r="B8" t="s">
        <v>20</v>
      </c>
      <c r="C8">
        <v>0</v>
      </c>
      <c r="D8">
        <v>1</v>
      </c>
      <c r="E8">
        <v>0</v>
      </c>
      <c r="F8">
        <v>0</v>
      </c>
      <c r="G8">
        <v>2</v>
      </c>
      <c r="H8">
        <v>0</v>
      </c>
      <c r="I8">
        <v>10</v>
      </c>
      <c r="J8">
        <v>13</v>
      </c>
      <c r="L8">
        <v>1</v>
      </c>
      <c r="M8">
        <f t="shared" si="2"/>
        <v>1</v>
      </c>
      <c r="N8">
        <f t="shared" si="3"/>
        <v>0</v>
      </c>
      <c r="O8">
        <f t="shared" ref="O8:P12" si="5">M8/L8*100</f>
        <v>100</v>
      </c>
      <c r="P8">
        <f t="shared" si="5"/>
        <v>0</v>
      </c>
      <c r="R8">
        <f t="shared" si="1"/>
        <v>0</v>
      </c>
    </row>
    <row r="9" spans="1:19" x14ac:dyDescent="0.2">
      <c r="A9" t="s">
        <v>21</v>
      </c>
      <c r="B9" t="s">
        <v>22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2</v>
      </c>
      <c r="L9">
        <f t="shared" ref="L9:L33" si="6">G9+D9+C9</f>
        <v>1</v>
      </c>
      <c r="M9">
        <f t="shared" si="2"/>
        <v>1</v>
      </c>
      <c r="N9">
        <f t="shared" si="3"/>
        <v>0</v>
      </c>
      <c r="O9">
        <f t="shared" si="5"/>
        <v>100</v>
      </c>
      <c r="P9">
        <f t="shared" si="5"/>
        <v>0</v>
      </c>
      <c r="R9">
        <f t="shared" si="1"/>
        <v>0</v>
      </c>
    </row>
    <row r="10" spans="1:19" x14ac:dyDescent="0.2">
      <c r="A10" t="s">
        <v>23</v>
      </c>
      <c r="B10" t="s">
        <v>24</v>
      </c>
      <c r="C10">
        <v>1</v>
      </c>
      <c r="D10">
        <v>1</v>
      </c>
      <c r="E10">
        <v>0</v>
      </c>
      <c r="F10">
        <v>0</v>
      </c>
      <c r="G10">
        <v>1</v>
      </c>
      <c r="H10">
        <v>2</v>
      </c>
      <c r="I10">
        <v>0</v>
      </c>
      <c r="J10">
        <v>5</v>
      </c>
      <c r="L10">
        <v>2</v>
      </c>
      <c r="M10">
        <f t="shared" si="2"/>
        <v>2</v>
      </c>
      <c r="N10">
        <f t="shared" si="3"/>
        <v>1</v>
      </c>
      <c r="O10">
        <f t="shared" si="5"/>
        <v>100</v>
      </c>
      <c r="P10">
        <f t="shared" si="5"/>
        <v>50</v>
      </c>
      <c r="R10">
        <f t="shared" si="1"/>
        <v>50</v>
      </c>
    </row>
    <row r="11" spans="1:19" x14ac:dyDescent="0.2">
      <c r="A11" t="s">
        <v>23</v>
      </c>
      <c r="B11" t="s">
        <v>25</v>
      </c>
      <c r="C11">
        <v>0</v>
      </c>
      <c r="D11">
        <v>5</v>
      </c>
      <c r="E11">
        <v>0</v>
      </c>
      <c r="F11">
        <v>0</v>
      </c>
      <c r="G11">
        <v>36</v>
      </c>
      <c r="H11">
        <v>0</v>
      </c>
      <c r="I11">
        <v>7</v>
      </c>
      <c r="J11">
        <v>48</v>
      </c>
      <c r="L11">
        <f t="shared" ref="L11:L33" si="7">G11+D11+C11</f>
        <v>41</v>
      </c>
      <c r="M11">
        <f t="shared" si="2"/>
        <v>5</v>
      </c>
      <c r="N11">
        <f t="shared" si="3"/>
        <v>0</v>
      </c>
      <c r="O11">
        <f t="shared" si="5"/>
        <v>12.195121951219512</v>
      </c>
      <c r="P11">
        <f t="shared" si="5"/>
        <v>0</v>
      </c>
      <c r="R11">
        <f t="shared" si="1"/>
        <v>0</v>
      </c>
    </row>
    <row r="12" spans="1:19" x14ac:dyDescent="0.2">
      <c r="A12" t="s">
        <v>23</v>
      </c>
      <c r="B12" t="s">
        <v>26</v>
      </c>
      <c r="C12">
        <v>1</v>
      </c>
      <c r="D12">
        <v>0</v>
      </c>
      <c r="E12">
        <v>3</v>
      </c>
      <c r="F12">
        <v>7</v>
      </c>
      <c r="G12">
        <v>38</v>
      </c>
      <c r="H12">
        <v>5</v>
      </c>
      <c r="I12">
        <v>54</v>
      </c>
      <c r="J12">
        <v>108</v>
      </c>
      <c r="L12">
        <v>3</v>
      </c>
      <c r="M12">
        <f t="shared" si="2"/>
        <v>1</v>
      </c>
      <c r="N12">
        <f t="shared" si="3"/>
        <v>1</v>
      </c>
      <c r="O12">
        <f t="shared" si="5"/>
        <v>33.333333333333329</v>
      </c>
      <c r="P12">
        <f t="shared" si="5"/>
        <v>100</v>
      </c>
      <c r="R12">
        <f t="shared" si="1"/>
        <v>33.333333333333329</v>
      </c>
    </row>
    <row r="13" spans="1:19" x14ac:dyDescent="0.2">
      <c r="A13" t="s">
        <v>27</v>
      </c>
      <c r="B13" t="s">
        <v>28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1</v>
      </c>
      <c r="L13">
        <f t="shared" ref="L13:L33" si="8">G13+D13+C13</f>
        <v>0</v>
      </c>
      <c r="M13">
        <f t="shared" si="2"/>
        <v>0</v>
      </c>
      <c r="N13">
        <f t="shared" si="3"/>
        <v>0</v>
      </c>
      <c r="R13" t="e">
        <f t="shared" si="1"/>
        <v>#DIV/0!</v>
      </c>
    </row>
    <row r="14" spans="1:19" x14ac:dyDescent="0.2">
      <c r="A14" t="s">
        <v>29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1</v>
      </c>
      <c r="L14">
        <v>4</v>
      </c>
      <c r="M14">
        <f t="shared" si="2"/>
        <v>0</v>
      </c>
      <c r="N14">
        <f t="shared" si="3"/>
        <v>0</v>
      </c>
      <c r="O14">
        <f t="shared" ref="O14:P18" si="9">M14/L14*100</f>
        <v>0</v>
      </c>
      <c r="P14" t="e">
        <f t="shared" si="9"/>
        <v>#DIV/0!</v>
      </c>
      <c r="R14">
        <f t="shared" si="1"/>
        <v>0</v>
      </c>
    </row>
    <row r="15" spans="1:19" x14ac:dyDescent="0.2">
      <c r="A15" t="s">
        <v>29</v>
      </c>
      <c r="B15" t="s">
        <v>31</v>
      </c>
      <c r="C15">
        <v>0</v>
      </c>
      <c r="D15">
        <v>1</v>
      </c>
      <c r="E15">
        <v>0</v>
      </c>
      <c r="F15">
        <v>0</v>
      </c>
      <c r="G15">
        <v>2</v>
      </c>
      <c r="H15">
        <v>0</v>
      </c>
      <c r="I15">
        <v>0</v>
      </c>
      <c r="J15">
        <v>3</v>
      </c>
      <c r="L15">
        <f t="shared" ref="L15:L33" si="10">G15+D15+C15</f>
        <v>3</v>
      </c>
      <c r="M15">
        <f t="shared" si="2"/>
        <v>1</v>
      </c>
      <c r="N15">
        <f t="shared" si="3"/>
        <v>0</v>
      </c>
      <c r="O15">
        <f t="shared" si="9"/>
        <v>33.333333333333329</v>
      </c>
      <c r="P15">
        <f t="shared" si="9"/>
        <v>0</v>
      </c>
      <c r="R15">
        <f t="shared" si="1"/>
        <v>0</v>
      </c>
    </row>
    <row r="16" spans="1:19" x14ac:dyDescent="0.2">
      <c r="A16" t="s">
        <v>32</v>
      </c>
      <c r="B16" t="s">
        <v>33</v>
      </c>
      <c r="C16">
        <v>0</v>
      </c>
      <c r="D16">
        <v>3</v>
      </c>
      <c r="E16">
        <v>0</v>
      </c>
      <c r="F16">
        <v>1</v>
      </c>
      <c r="G16">
        <v>1</v>
      </c>
      <c r="H16">
        <v>2</v>
      </c>
      <c r="I16">
        <v>67</v>
      </c>
      <c r="J16">
        <v>74</v>
      </c>
      <c r="L16">
        <v>5</v>
      </c>
      <c r="M16">
        <f t="shared" si="2"/>
        <v>3</v>
      </c>
      <c r="N16">
        <f t="shared" si="3"/>
        <v>0</v>
      </c>
      <c r="O16">
        <f t="shared" si="9"/>
        <v>60</v>
      </c>
      <c r="P16">
        <f t="shared" si="9"/>
        <v>0</v>
      </c>
      <c r="R16">
        <f t="shared" si="1"/>
        <v>0</v>
      </c>
    </row>
    <row r="17" spans="1:18" x14ac:dyDescent="0.2">
      <c r="A17" t="s">
        <v>32</v>
      </c>
      <c r="B17" t="s">
        <v>34</v>
      </c>
      <c r="C17">
        <v>0</v>
      </c>
      <c r="D17">
        <v>0</v>
      </c>
      <c r="E17">
        <v>0</v>
      </c>
      <c r="F17">
        <v>0</v>
      </c>
      <c r="G17">
        <v>5</v>
      </c>
      <c r="H17">
        <v>0</v>
      </c>
      <c r="I17">
        <v>2</v>
      </c>
      <c r="J17">
        <v>7</v>
      </c>
      <c r="L17">
        <f t="shared" ref="L17:L33" si="11">G17+D17+C17</f>
        <v>5</v>
      </c>
      <c r="M17">
        <f t="shared" si="2"/>
        <v>0</v>
      </c>
      <c r="N17">
        <f t="shared" si="3"/>
        <v>0</v>
      </c>
      <c r="O17">
        <f t="shared" si="9"/>
        <v>0</v>
      </c>
      <c r="P17" t="e">
        <f t="shared" si="9"/>
        <v>#DIV/0!</v>
      </c>
      <c r="R17">
        <f t="shared" si="1"/>
        <v>0</v>
      </c>
    </row>
    <row r="18" spans="1:18" x14ac:dyDescent="0.2">
      <c r="A18" t="s">
        <v>32</v>
      </c>
      <c r="B18" t="s">
        <v>35</v>
      </c>
      <c r="C18">
        <v>0</v>
      </c>
      <c r="D18">
        <v>0</v>
      </c>
      <c r="E18">
        <v>0</v>
      </c>
      <c r="F18">
        <v>1</v>
      </c>
      <c r="G18">
        <v>1</v>
      </c>
      <c r="H18">
        <v>0</v>
      </c>
      <c r="I18">
        <v>7</v>
      </c>
      <c r="J18">
        <v>9</v>
      </c>
      <c r="L18">
        <v>6</v>
      </c>
      <c r="M18">
        <f t="shared" si="2"/>
        <v>0</v>
      </c>
      <c r="N18">
        <f t="shared" si="3"/>
        <v>0</v>
      </c>
      <c r="O18">
        <f t="shared" si="9"/>
        <v>0</v>
      </c>
      <c r="P18" t="e">
        <f t="shared" si="9"/>
        <v>#DIV/0!</v>
      </c>
      <c r="R18">
        <f t="shared" si="1"/>
        <v>0</v>
      </c>
    </row>
    <row r="19" spans="1:18" x14ac:dyDescent="0.2">
      <c r="A19" t="s">
        <v>32</v>
      </c>
      <c r="B19" t="s">
        <v>36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10</v>
      </c>
      <c r="J19">
        <v>10</v>
      </c>
      <c r="L19">
        <f t="shared" ref="L19:L33" si="12">G19+D19+C19</f>
        <v>0</v>
      </c>
      <c r="M19">
        <f t="shared" si="2"/>
        <v>0</v>
      </c>
      <c r="N19">
        <f t="shared" si="3"/>
        <v>0</v>
      </c>
      <c r="R19" t="e">
        <f t="shared" si="1"/>
        <v>#DIV/0!</v>
      </c>
    </row>
    <row r="20" spans="1:18" x14ac:dyDescent="0.2">
      <c r="A20" t="s">
        <v>32</v>
      </c>
      <c r="B20" t="s">
        <v>37</v>
      </c>
      <c r="C20">
        <v>1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3</v>
      </c>
      <c r="L20">
        <v>7</v>
      </c>
      <c r="M20">
        <f t="shared" si="2"/>
        <v>2</v>
      </c>
      <c r="N20">
        <f t="shared" si="3"/>
        <v>1</v>
      </c>
      <c r="O20">
        <f t="shared" ref="O20:P22" si="13">M20/L20*100</f>
        <v>28.571428571428569</v>
      </c>
      <c r="P20">
        <f t="shared" si="13"/>
        <v>50</v>
      </c>
      <c r="R20">
        <f t="shared" si="1"/>
        <v>14.285714285714285</v>
      </c>
    </row>
    <row r="21" spans="1:18" x14ac:dyDescent="0.2">
      <c r="A21" t="s">
        <v>32</v>
      </c>
      <c r="B21" t="s">
        <v>38</v>
      </c>
      <c r="C21">
        <v>0</v>
      </c>
      <c r="D21">
        <v>0</v>
      </c>
      <c r="E21">
        <v>1</v>
      </c>
      <c r="F21">
        <v>4</v>
      </c>
      <c r="G21">
        <v>5</v>
      </c>
      <c r="H21">
        <v>0</v>
      </c>
      <c r="I21">
        <v>53</v>
      </c>
      <c r="J21">
        <v>63</v>
      </c>
      <c r="L21">
        <f t="shared" ref="L21:L33" si="14">G21+D21+C21</f>
        <v>5</v>
      </c>
      <c r="M21">
        <f t="shared" si="2"/>
        <v>0</v>
      </c>
      <c r="N21">
        <f t="shared" si="3"/>
        <v>0</v>
      </c>
      <c r="O21">
        <f t="shared" si="13"/>
        <v>0</v>
      </c>
      <c r="P21" t="e">
        <f t="shared" si="13"/>
        <v>#DIV/0!</v>
      </c>
      <c r="R21">
        <f t="shared" si="1"/>
        <v>0</v>
      </c>
    </row>
    <row r="22" spans="1:18" x14ac:dyDescent="0.2">
      <c r="A22" t="s">
        <v>32</v>
      </c>
      <c r="B22" t="s">
        <v>39</v>
      </c>
      <c r="C22">
        <v>1</v>
      </c>
      <c r="D22">
        <v>3</v>
      </c>
      <c r="E22">
        <v>1</v>
      </c>
      <c r="F22">
        <v>5</v>
      </c>
      <c r="G22">
        <v>7</v>
      </c>
      <c r="H22">
        <v>1</v>
      </c>
      <c r="I22">
        <v>131</v>
      </c>
      <c r="J22">
        <v>149</v>
      </c>
      <c r="L22">
        <v>8</v>
      </c>
      <c r="M22">
        <f t="shared" si="2"/>
        <v>4</v>
      </c>
      <c r="N22">
        <f t="shared" si="3"/>
        <v>1</v>
      </c>
      <c r="O22">
        <f t="shared" si="13"/>
        <v>50</v>
      </c>
      <c r="P22">
        <f t="shared" si="13"/>
        <v>25</v>
      </c>
      <c r="R22">
        <f t="shared" si="1"/>
        <v>12.5</v>
      </c>
    </row>
    <row r="23" spans="1:18" x14ac:dyDescent="0.2">
      <c r="A23" t="s">
        <v>32</v>
      </c>
      <c r="B23" t="s">
        <v>40</v>
      </c>
      <c r="C23">
        <v>0</v>
      </c>
      <c r="D23">
        <v>0</v>
      </c>
      <c r="E23">
        <v>0</v>
      </c>
      <c r="F23">
        <v>0</v>
      </c>
      <c r="G23">
        <v>0</v>
      </c>
      <c r="H23">
        <v>6</v>
      </c>
      <c r="I23">
        <v>0</v>
      </c>
      <c r="J23">
        <v>6</v>
      </c>
      <c r="L23">
        <f t="shared" ref="L23:L33" si="15">G23+D23+C23</f>
        <v>0</v>
      </c>
      <c r="M23">
        <f t="shared" si="2"/>
        <v>0</v>
      </c>
      <c r="N23">
        <f t="shared" si="3"/>
        <v>0</v>
      </c>
      <c r="R23" t="e">
        <f t="shared" si="1"/>
        <v>#DIV/0!</v>
      </c>
    </row>
    <row r="24" spans="1:18" x14ac:dyDescent="0.2">
      <c r="A24" t="s">
        <v>41</v>
      </c>
      <c r="B24" t="s">
        <v>42</v>
      </c>
      <c r="C24">
        <v>0</v>
      </c>
      <c r="D24">
        <v>1</v>
      </c>
      <c r="E24">
        <v>0</v>
      </c>
      <c r="F24">
        <v>0</v>
      </c>
      <c r="G24">
        <v>3</v>
      </c>
      <c r="H24">
        <v>0</v>
      </c>
      <c r="I24">
        <v>0</v>
      </c>
      <c r="J24">
        <v>4</v>
      </c>
      <c r="L24">
        <v>9</v>
      </c>
      <c r="M24">
        <f t="shared" si="2"/>
        <v>1</v>
      </c>
      <c r="N24">
        <f t="shared" si="3"/>
        <v>0</v>
      </c>
      <c r="O24">
        <f t="shared" ref="O24:P30" si="16">M24/L24*100</f>
        <v>11.111111111111111</v>
      </c>
      <c r="P24">
        <f t="shared" si="16"/>
        <v>0</v>
      </c>
      <c r="R24">
        <f t="shared" si="1"/>
        <v>0</v>
      </c>
    </row>
    <row r="25" spans="1:18" x14ac:dyDescent="0.2">
      <c r="A25" t="s">
        <v>41</v>
      </c>
      <c r="B25" t="s">
        <v>43</v>
      </c>
      <c r="C25">
        <v>5</v>
      </c>
      <c r="D25">
        <v>1</v>
      </c>
      <c r="E25">
        <v>0</v>
      </c>
      <c r="F25">
        <v>1</v>
      </c>
      <c r="G25">
        <v>1</v>
      </c>
      <c r="H25">
        <v>0</v>
      </c>
      <c r="I25">
        <v>0</v>
      </c>
      <c r="J25">
        <v>8</v>
      </c>
      <c r="L25">
        <f t="shared" ref="L25:L33" si="17">G25+D25+C25</f>
        <v>7</v>
      </c>
      <c r="M25">
        <f t="shared" si="2"/>
        <v>6</v>
      </c>
      <c r="N25">
        <f t="shared" si="3"/>
        <v>5</v>
      </c>
      <c r="O25">
        <f t="shared" si="16"/>
        <v>85.714285714285708</v>
      </c>
      <c r="P25">
        <f t="shared" si="16"/>
        <v>83.333333333333343</v>
      </c>
      <c r="R25">
        <f t="shared" si="1"/>
        <v>71.428571428571431</v>
      </c>
    </row>
    <row r="26" spans="1:18" x14ac:dyDescent="0.2">
      <c r="A26" t="s">
        <v>41</v>
      </c>
      <c r="B26" t="s">
        <v>44</v>
      </c>
      <c r="C26">
        <v>3</v>
      </c>
      <c r="D26">
        <v>4</v>
      </c>
      <c r="E26">
        <v>0</v>
      </c>
      <c r="F26">
        <v>1</v>
      </c>
      <c r="G26">
        <v>16</v>
      </c>
      <c r="H26">
        <v>0</v>
      </c>
      <c r="I26">
        <v>1</v>
      </c>
      <c r="J26">
        <v>25</v>
      </c>
      <c r="L26">
        <v>10</v>
      </c>
      <c r="M26">
        <f t="shared" si="2"/>
        <v>7</v>
      </c>
      <c r="N26">
        <f t="shared" si="3"/>
        <v>3</v>
      </c>
      <c r="O26">
        <f t="shared" si="16"/>
        <v>70</v>
      </c>
      <c r="P26">
        <f t="shared" si="16"/>
        <v>42.857142857142854</v>
      </c>
      <c r="R26">
        <f t="shared" si="1"/>
        <v>30</v>
      </c>
    </row>
    <row r="27" spans="1:18" x14ac:dyDescent="0.2">
      <c r="A27" t="s">
        <v>41</v>
      </c>
      <c r="B27" t="s">
        <v>45</v>
      </c>
      <c r="C27">
        <v>0</v>
      </c>
      <c r="D27">
        <v>1</v>
      </c>
      <c r="E27">
        <v>0</v>
      </c>
      <c r="F27">
        <v>1</v>
      </c>
      <c r="G27">
        <v>2</v>
      </c>
      <c r="H27">
        <v>0</v>
      </c>
      <c r="I27">
        <v>0</v>
      </c>
      <c r="J27">
        <v>4</v>
      </c>
      <c r="L27">
        <f t="shared" ref="L27:L33" si="18">G27+D27+C27</f>
        <v>3</v>
      </c>
      <c r="M27">
        <f t="shared" si="2"/>
        <v>1</v>
      </c>
      <c r="N27">
        <f t="shared" si="3"/>
        <v>0</v>
      </c>
      <c r="O27">
        <f t="shared" si="16"/>
        <v>33.333333333333329</v>
      </c>
      <c r="P27">
        <f t="shared" si="16"/>
        <v>0</v>
      </c>
      <c r="R27">
        <f t="shared" si="1"/>
        <v>0</v>
      </c>
    </row>
    <row r="28" spans="1:18" x14ac:dyDescent="0.2">
      <c r="A28" t="s">
        <v>41</v>
      </c>
      <c r="B28" t="s">
        <v>46</v>
      </c>
      <c r="C28">
        <v>1</v>
      </c>
      <c r="D28">
        <v>3</v>
      </c>
      <c r="E28">
        <v>0</v>
      </c>
      <c r="F28">
        <v>1</v>
      </c>
      <c r="G28">
        <v>14</v>
      </c>
      <c r="H28">
        <v>1</v>
      </c>
      <c r="I28">
        <v>1</v>
      </c>
      <c r="J28">
        <v>21</v>
      </c>
      <c r="L28">
        <v>11</v>
      </c>
      <c r="M28">
        <f t="shared" si="2"/>
        <v>4</v>
      </c>
      <c r="N28">
        <f t="shared" si="3"/>
        <v>1</v>
      </c>
      <c r="O28">
        <f t="shared" si="16"/>
        <v>36.363636363636367</v>
      </c>
      <c r="P28">
        <f t="shared" si="16"/>
        <v>25</v>
      </c>
      <c r="R28">
        <f t="shared" si="1"/>
        <v>9.0909090909090917</v>
      </c>
    </row>
    <row r="29" spans="1:18" x14ac:dyDescent="0.2">
      <c r="A29" t="s">
        <v>41</v>
      </c>
      <c r="B29" t="s">
        <v>47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L29">
        <f t="shared" ref="L29:L33" si="19">G29+D29+C29</f>
        <v>1</v>
      </c>
      <c r="M29">
        <f t="shared" si="2"/>
        <v>1</v>
      </c>
      <c r="N29">
        <f t="shared" si="3"/>
        <v>1</v>
      </c>
      <c r="O29">
        <f t="shared" si="16"/>
        <v>100</v>
      </c>
      <c r="P29">
        <f t="shared" si="16"/>
        <v>100</v>
      </c>
      <c r="R29">
        <f t="shared" si="1"/>
        <v>100</v>
      </c>
    </row>
    <row r="30" spans="1:18" x14ac:dyDescent="0.2">
      <c r="A30" t="s">
        <v>48</v>
      </c>
      <c r="B30" t="s">
        <v>49</v>
      </c>
      <c r="C30">
        <v>0</v>
      </c>
      <c r="D30">
        <v>5</v>
      </c>
      <c r="E30">
        <v>0</v>
      </c>
      <c r="F30">
        <v>0</v>
      </c>
      <c r="G30">
        <v>20</v>
      </c>
      <c r="H30">
        <v>1</v>
      </c>
      <c r="I30">
        <v>1</v>
      </c>
      <c r="J30">
        <v>27</v>
      </c>
      <c r="L30">
        <v>12</v>
      </c>
      <c r="M30">
        <f t="shared" si="2"/>
        <v>5</v>
      </c>
      <c r="N30">
        <f t="shared" si="3"/>
        <v>0</v>
      </c>
      <c r="O30">
        <f t="shared" si="16"/>
        <v>41.666666666666671</v>
      </c>
      <c r="P30">
        <f t="shared" si="16"/>
        <v>0</v>
      </c>
      <c r="R30">
        <f t="shared" si="1"/>
        <v>0</v>
      </c>
    </row>
    <row r="31" spans="1:18" x14ac:dyDescent="0.2">
      <c r="A31" t="s">
        <v>50</v>
      </c>
      <c r="B31" t="s">
        <v>51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L31">
        <f t="shared" ref="L31:L33" si="20">G31+D31+C31</f>
        <v>0</v>
      </c>
      <c r="M31">
        <f t="shared" si="2"/>
        <v>0</v>
      </c>
      <c r="N31">
        <f t="shared" si="3"/>
        <v>0</v>
      </c>
      <c r="R31" t="e">
        <f t="shared" si="1"/>
        <v>#DIV/0!</v>
      </c>
    </row>
    <row r="32" spans="1:18" x14ac:dyDescent="0.2">
      <c r="A32" t="s">
        <v>50</v>
      </c>
      <c r="B32" t="s">
        <v>52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L32">
        <v>13</v>
      </c>
      <c r="M32">
        <f t="shared" si="2"/>
        <v>0</v>
      </c>
      <c r="N32">
        <f t="shared" si="3"/>
        <v>0</v>
      </c>
      <c r="R32">
        <f t="shared" si="1"/>
        <v>0</v>
      </c>
    </row>
    <row r="33" spans="1:18" x14ac:dyDescent="0.2">
      <c r="A33" t="s">
        <v>50</v>
      </c>
      <c r="B33" t="s">
        <v>53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</v>
      </c>
      <c r="J33">
        <v>2</v>
      </c>
      <c r="L33">
        <f t="shared" ref="L33" si="21">G33+D33+C33</f>
        <v>0</v>
      </c>
      <c r="M33">
        <f t="shared" si="2"/>
        <v>0</v>
      </c>
      <c r="N33">
        <f t="shared" si="3"/>
        <v>0</v>
      </c>
      <c r="R33" t="e">
        <f t="shared" si="1"/>
        <v>#DIV/0!</v>
      </c>
    </row>
    <row r="34" spans="1:18" x14ac:dyDescent="0.2">
      <c r="A34" t="s">
        <v>50</v>
      </c>
      <c r="B34" t="s">
        <v>54</v>
      </c>
      <c r="C34">
        <v>0</v>
      </c>
      <c r="D34">
        <v>2</v>
      </c>
      <c r="E34">
        <v>0</v>
      </c>
      <c r="F34">
        <v>0</v>
      </c>
      <c r="G34">
        <v>0</v>
      </c>
      <c r="H34">
        <v>1</v>
      </c>
      <c r="I34">
        <v>0</v>
      </c>
      <c r="J34">
        <v>3</v>
      </c>
      <c r="L34">
        <f t="shared" ref="L34:L89" si="22">G34+D34+C34</f>
        <v>2</v>
      </c>
      <c r="M34">
        <f t="shared" si="2"/>
        <v>2</v>
      </c>
      <c r="N34">
        <f t="shared" si="3"/>
        <v>0</v>
      </c>
      <c r="O34">
        <f t="shared" ref="O34:O75" si="23">M34/L34*100</f>
        <v>100</v>
      </c>
      <c r="P34">
        <f t="shared" ref="P34:P75" si="24">N34/M34*100</f>
        <v>0</v>
      </c>
      <c r="R34">
        <f t="shared" ref="R34:R65" si="25">N34/L34*100</f>
        <v>0</v>
      </c>
    </row>
    <row r="35" spans="1:18" x14ac:dyDescent="0.2">
      <c r="A35" t="s">
        <v>50</v>
      </c>
      <c r="B35" t="s">
        <v>55</v>
      </c>
      <c r="C35">
        <v>0</v>
      </c>
      <c r="D35">
        <v>11</v>
      </c>
      <c r="E35">
        <v>0</v>
      </c>
      <c r="F35">
        <v>0</v>
      </c>
      <c r="G35">
        <v>10</v>
      </c>
      <c r="H35">
        <v>12</v>
      </c>
      <c r="I35">
        <v>0</v>
      </c>
      <c r="J35">
        <v>33</v>
      </c>
      <c r="L35">
        <f t="shared" si="22"/>
        <v>21</v>
      </c>
      <c r="M35">
        <f t="shared" si="2"/>
        <v>11</v>
      </c>
      <c r="N35">
        <f t="shared" si="3"/>
        <v>0</v>
      </c>
      <c r="O35">
        <f t="shared" si="23"/>
        <v>52.380952380952387</v>
      </c>
      <c r="P35">
        <f t="shared" si="24"/>
        <v>0</v>
      </c>
      <c r="R35">
        <f t="shared" si="25"/>
        <v>0</v>
      </c>
    </row>
    <row r="36" spans="1:18" x14ac:dyDescent="0.2">
      <c r="A36" t="s">
        <v>50</v>
      </c>
      <c r="B36" t="s">
        <v>56</v>
      </c>
      <c r="C36">
        <v>1</v>
      </c>
      <c r="D36">
        <v>5</v>
      </c>
      <c r="E36">
        <v>0</v>
      </c>
      <c r="F36">
        <v>0</v>
      </c>
      <c r="G36">
        <v>2</v>
      </c>
      <c r="H36">
        <v>6</v>
      </c>
      <c r="I36">
        <v>4</v>
      </c>
      <c r="J36">
        <v>18</v>
      </c>
      <c r="L36">
        <f t="shared" si="22"/>
        <v>8</v>
      </c>
      <c r="M36">
        <f t="shared" si="2"/>
        <v>6</v>
      </c>
      <c r="N36">
        <f t="shared" si="3"/>
        <v>1</v>
      </c>
      <c r="O36">
        <f t="shared" si="23"/>
        <v>75</v>
      </c>
      <c r="P36">
        <f t="shared" si="24"/>
        <v>16.666666666666664</v>
      </c>
      <c r="R36">
        <f t="shared" si="25"/>
        <v>12.5</v>
      </c>
    </row>
    <row r="37" spans="1:18" x14ac:dyDescent="0.2">
      <c r="A37" t="s">
        <v>50</v>
      </c>
      <c r="B37" t="s">
        <v>57</v>
      </c>
      <c r="C37">
        <v>0</v>
      </c>
      <c r="D37">
        <v>0</v>
      </c>
      <c r="E37" t="s">
        <v>138</v>
      </c>
      <c r="F37">
        <v>0</v>
      </c>
      <c r="G37">
        <v>0</v>
      </c>
      <c r="H37">
        <v>1</v>
      </c>
      <c r="I37">
        <v>0</v>
      </c>
      <c r="J37">
        <v>1</v>
      </c>
      <c r="L37">
        <f t="shared" si="22"/>
        <v>0</v>
      </c>
      <c r="M37">
        <f t="shared" si="2"/>
        <v>0</v>
      </c>
      <c r="N37">
        <f>C37</f>
        <v>0</v>
      </c>
      <c r="O37" t="e">
        <f t="shared" si="23"/>
        <v>#DIV/0!</v>
      </c>
      <c r="P37" t="e">
        <f t="shared" si="24"/>
        <v>#DIV/0!</v>
      </c>
      <c r="R37" t="e">
        <f t="shared" si="25"/>
        <v>#DIV/0!</v>
      </c>
    </row>
    <row r="38" spans="1:18" x14ac:dyDescent="0.2">
      <c r="A38" t="s">
        <v>50</v>
      </c>
      <c r="B38" t="s">
        <v>58</v>
      </c>
      <c r="C38">
        <v>0</v>
      </c>
      <c r="D38">
        <v>2</v>
      </c>
      <c r="E38">
        <v>0</v>
      </c>
      <c r="F38">
        <v>0</v>
      </c>
      <c r="G38">
        <v>0</v>
      </c>
      <c r="H38">
        <v>1</v>
      </c>
      <c r="I38">
        <v>0</v>
      </c>
      <c r="J38">
        <v>3</v>
      </c>
      <c r="L38">
        <f t="shared" si="22"/>
        <v>2</v>
      </c>
      <c r="M38">
        <f t="shared" si="2"/>
        <v>2</v>
      </c>
      <c r="N38">
        <f t="shared" si="3"/>
        <v>0</v>
      </c>
      <c r="O38">
        <f t="shared" si="23"/>
        <v>100</v>
      </c>
      <c r="P38">
        <f t="shared" si="24"/>
        <v>0</v>
      </c>
      <c r="R38">
        <f t="shared" si="25"/>
        <v>0</v>
      </c>
    </row>
    <row r="39" spans="1:18" x14ac:dyDescent="0.2">
      <c r="A39" t="s">
        <v>50</v>
      </c>
      <c r="B39" t="s">
        <v>59</v>
      </c>
      <c r="C39">
        <v>0</v>
      </c>
      <c r="D39">
        <v>3</v>
      </c>
      <c r="E39">
        <v>0</v>
      </c>
      <c r="F39">
        <v>0</v>
      </c>
      <c r="G39">
        <v>0</v>
      </c>
      <c r="H39">
        <v>2</v>
      </c>
      <c r="I39">
        <v>28</v>
      </c>
      <c r="J39">
        <v>33</v>
      </c>
      <c r="L39">
        <f t="shared" si="22"/>
        <v>3</v>
      </c>
      <c r="M39">
        <f t="shared" si="2"/>
        <v>3</v>
      </c>
      <c r="N39">
        <f t="shared" si="3"/>
        <v>0</v>
      </c>
      <c r="O39">
        <f t="shared" si="23"/>
        <v>100</v>
      </c>
      <c r="P39">
        <f t="shared" si="24"/>
        <v>0</v>
      </c>
      <c r="R39">
        <f t="shared" si="25"/>
        <v>0</v>
      </c>
    </row>
    <row r="40" spans="1:18" x14ac:dyDescent="0.2">
      <c r="A40" t="s">
        <v>50</v>
      </c>
      <c r="B40" t="s">
        <v>60</v>
      </c>
      <c r="C40">
        <v>0</v>
      </c>
      <c r="D40">
        <v>13</v>
      </c>
      <c r="E40">
        <v>0</v>
      </c>
      <c r="F40">
        <v>0</v>
      </c>
      <c r="G40">
        <v>7</v>
      </c>
      <c r="H40">
        <v>102</v>
      </c>
      <c r="I40">
        <v>28</v>
      </c>
      <c r="J40">
        <v>150</v>
      </c>
      <c r="L40">
        <f t="shared" si="22"/>
        <v>20</v>
      </c>
      <c r="M40">
        <f t="shared" si="2"/>
        <v>13</v>
      </c>
      <c r="N40">
        <f t="shared" si="3"/>
        <v>0</v>
      </c>
      <c r="O40">
        <f t="shared" si="23"/>
        <v>65</v>
      </c>
      <c r="P40">
        <f t="shared" si="24"/>
        <v>0</v>
      </c>
      <c r="R40">
        <f t="shared" si="25"/>
        <v>0</v>
      </c>
    </row>
    <row r="41" spans="1:18" x14ac:dyDescent="0.2">
      <c r="A41" t="s">
        <v>50</v>
      </c>
      <c r="B41" t="s">
        <v>61</v>
      </c>
      <c r="C41">
        <v>1</v>
      </c>
      <c r="D41">
        <v>17</v>
      </c>
      <c r="E41">
        <v>1</v>
      </c>
      <c r="F41">
        <v>0</v>
      </c>
      <c r="G41">
        <v>8</v>
      </c>
      <c r="H41">
        <v>19</v>
      </c>
      <c r="I41">
        <v>11</v>
      </c>
      <c r="J41">
        <v>57</v>
      </c>
      <c r="L41">
        <f t="shared" si="22"/>
        <v>26</v>
      </c>
      <c r="M41">
        <f t="shared" si="2"/>
        <v>18</v>
      </c>
      <c r="N41">
        <f t="shared" si="3"/>
        <v>1</v>
      </c>
      <c r="O41">
        <f t="shared" si="23"/>
        <v>69.230769230769226</v>
      </c>
      <c r="P41">
        <f t="shared" si="24"/>
        <v>5.5555555555555554</v>
      </c>
      <c r="R41">
        <f t="shared" si="25"/>
        <v>3.8461538461538463</v>
      </c>
    </row>
    <row r="42" spans="1:18" x14ac:dyDescent="0.2">
      <c r="A42" t="s">
        <v>50</v>
      </c>
      <c r="B42" t="s">
        <v>62</v>
      </c>
      <c r="C42">
        <v>0</v>
      </c>
      <c r="D42">
        <v>2</v>
      </c>
      <c r="E42">
        <v>0</v>
      </c>
      <c r="F42">
        <v>0</v>
      </c>
      <c r="G42">
        <v>1</v>
      </c>
      <c r="H42">
        <v>0</v>
      </c>
      <c r="I42">
        <v>0</v>
      </c>
      <c r="J42">
        <v>3</v>
      </c>
      <c r="L42">
        <f t="shared" si="22"/>
        <v>3</v>
      </c>
      <c r="M42">
        <f t="shared" si="2"/>
        <v>2</v>
      </c>
      <c r="N42">
        <f t="shared" si="3"/>
        <v>0</v>
      </c>
      <c r="O42">
        <f t="shared" si="23"/>
        <v>66.666666666666657</v>
      </c>
      <c r="P42">
        <f t="shared" si="24"/>
        <v>0</v>
      </c>
      <c r="R42">
        <f t="shared" si="25"/>
        <v>0</v>
      </c>
    </row>
    <row r="43" spans="1:18" x14ac:dyDescent="0.2">
      <c r="A43" t="s">
        <v>50</v>
      </c>
      <c r="B43" t="s">
        <v>63</v>
      </c>
      <c r="C43">
        <v>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1</v>
      </c>
      <c r="L43">
        <f t="shared" si="22"/>
        <v>1</v>
      </c>
      <c r="M43">
        <f t="shared" si="2"/>
        <v>0</v>
      </c>
      <c r="N43">
        <f t="shared" si="3"/>
        <v>0</v>
      </c>
      <c r="O43">
        <f t="shared" si="23"/>
        <v>0</v>
      </c>
      <c r="P43" t="e">
        <f t="shared" si="24"/>
        <v>#DIV/0!</v>
      </c>
      <c r="R43">
        <f t="shared" si="25"/>
        <v>0</v>
      </c>
    </row>
    <row r="44" spans="1:18" x14ac:dyDescent="0.2">
      <c r="A44" t="s">
        <v>50</v>
      </c>
      <c r="B44" t="s">
        <v>64</v>
      </c>
      <c r="C44">
        <v>1</v>
      </c>
      <c r="D44">
        <v>124</v>
      </c>
      <c r="E44">
        <v>3</v>
      </c>
      <c r="F44">
        <v>0</v>
      </c>
      <c r="G44">
        <v>34</v>
      </c>
      <c r="H44">
        <v>162</v>
      </c>
      <c r="I44">
        <v>43</v>
      </c>
      <c r="J44">
        <v>367</v>
      </c>
      <c r="L44">
        <f t="shared" si="22"/>
        <v>159</v>
      </c>
      <c r="M44">
        <f t="shared" si="2"/>
        <v>125</v>
      </c>
      <c r="N44">
        <f t="shared" si="3"/>
        <v>1</v>
      </c>
      <c r="O44">
        <f t="shared" si="23"/>
        <v>78.616352201257868</v>
      </c>
      <c r="P44">
        <f t="shared" si="24"/>
        <v>0.8</v>
      </c>
      <c r="R44">
        <f t="shared" si="25"/>
        <v>0.62893081761006298</v>
      </c>
    </row>
    <row r="45" spans="1:18" x14ac:dyDescent="0.2">
      <c r="A45" t="s">
        <v>65</v>
      </c>
      <c r="B45" t="s">
        <v>66</v>
      </c>
      <c r="C45">
        <v>0</v>
      </c>
      <c r="D45">
        <v>5</v>
      </c>
      <c r="E45">
        <v>0</v>
      </c>
      <c r="F45">
        <v>0</v>
      </c>
      <c r="G45">
        <v>3</v>
      </c>
      <c r="H45">
        <v>2</v>
      </c>
      <c r="I45">
        <v>0</v>
      </c>
      <c r="J45">
        <v>10</v>
      </c>
      <c r="L45">
        <f t="shared" si="22"/>
        <v>8</v>
      </c>
      <c r="M45">
        <f t="shared" si="2"/>
        <v>5</v>
      </c>
      <c r="N45">
        <f t="shared" ref="N34:N93" si="26">C45</f>
        <v>0</v>
      </c>
      <c r="O45">
        <f t="shared" si="23"/>
        <v>62.5</v>
      </c>
      <c r="P45">
        <f t="shared" si="24"/>
        <v>0</v>
      </c>
      <c r="R45">
        <f t="shared" si="25"/>
        <v>0</v>
      </c>
    </row>
    <row r="46" spans="1:18" x14ac:dyDescent="0.2">
      <c r="A46" t="s">
        <v>67</v>
      </c>
      <c r="B46" t="s">
        <v>68</v>
      </c>
      <c r="C46">
        <v>0</v>
      </c>
      <c r="D46">
        <v>3</v>
      </c>
      <c r="E46">
        <v>0</v>
      </c>
      <c r="F46">
        <v>0</v>
      </c>
      <c r="G46">
        <v>13</v>
      </c>
      <c r="H46">
        <v>10</v>
      </c>
      <c r="I46">
        <v>1</v>
      </c>
      <c r="J46">
        <v>27</v>
      </c>
    </row>
    <row r="47" spans="1:18" x14ac:dyDescent="0.2">
      <c r="A47" t="s">
        <v>67</v>
      </c>
      <c r="B47" t="s">
        <v>69</v>
      </c>
      <c r="C47">
        <v>15</v>
      </c>
      <c r="D47">
        <v>221</v>
      </c>
      <c r="E47">
        <v>6</v>
      </c>
      <c r="F47">
        <v>4</v>
      </c>
      <c r="G47">
        <v>165</v>
      </c>
      <c r="H47">
        <v>132</v>
      </c>
      <c r="I47">
        <v>30</v>
      </c>
      <c r="J47">
        <v>573</v>
      </c>
    </row>
    <row r="48" spans="1:18" x14ac:dyDescent="0.2">
      <c r="A48" t="s">
        <v>67</v>
      </c>
      <c r="B48" t="s">
        <v>70</v>
      </c>
      <c r="C48">
        <v>0</v>
      </c>
      <c r="D48">
        <v>1</v>
      </c>
      <c r="E48">
        <v>0</v>
      </c>
      <c r="F48">
        <v>0</v>
      </c>
      <c r="G48">
        <v>1</v>
      </c>
      <c r="H48">
        <v>0</v>
      </c>
      <c r="I48">
        <v>0</v>
      </c>
      <c r="J48">
        <v>2</v>
      </c>
    </row>
    <row r="49" spans="1:18" x14ac:dyDescent="0.2">
      <c r="A49" t="s">
        <v>67</v>
      </c>
      <c r="B49" t="s">
        <v>71</v>
      </c>
      <c r="C49">
        <v>0</v>
      </c>
      <c r="D49">
        <v>4</v>
      </c>
      <c r="E49">
        <v>0</v>
      </c>
      <c r="F49">
        <v>0</v>
      </c>
      <c r="G49">
        <v>2</v>
      </c>
      <c r="H49">
        <v>1</v>
      </c>
      <c r="I49">
        <v>0</v>
      </c>
      <c r="J49">
        <v>7</v>
      </c>
    </row>
    <row r="50" spans="1:18" x14ac:dyDescent="0.2">
      <c r="A50" t="s">
        <v>67</v>
      </c>
      <c r="B50" t="s">
        <v>72</v>
      </c>
      <c r="C50">
        <v>24</v>
      </c>
      <c r="D50">
        <v>300</v>
      </c>
      <c r="E50">
        <v>26</v>
      </c>
      <c r="F50">
        <v>17</v>
      </c>
      <c r="G50">
        <v>420</v>
      </c>
      <c r="H50">
        <v>194</v>
      </c>
      <c r="I50">
        <v>63</v>
      </c>
      <c r="J50">
        <v>1044</v>
      </c>
    </row>
    <row r="51" spans="1:18" x14ac:dyDescent="0.2">
      <c r="A51" t="s">
        <v>73</v>
      </c>
      <c r="B51" t="s">
        <v>74</v>
      </c>
      <c r="C51">
        <v>1</v>
      </c>
      <c r="D51">
        <v>13</v>
      </c>
      <c r="E51">
        <v>1</v>
      </c>
      <c r="F51">
        <v>0</v>
      </c>
      <c r="G51">
        <v>14</v>
      </c>
      <c r="H51">
        <v>3</v>
      </c>
      <c r="I51">
        <v>3</v>
      </c>
      <c r="J51">
        <v>35</v>
      </c>
      <c r="L51">
        <f t="shared" si="22"/>
        <v>28</v>
      </c>
      <c r="M51">
        <f t="shared" ref="M34:M90" si="27">D51+C51</f>
        <v>14</v>
      </c>
      <c r="N51">
        <f t="shared" si="26"/>
        <v>1</v>
      </c>
      <c r="O51">
        <f t="shared" si="23"/>
        <v>50</v>
      </c>
      <c r="P51">
        <f t="shared" si="24"/>
        <v>7.1428571428571423</v>
      </c>
      <c r="R51">
        <f t="shared" si="25"/>
        <v>3.5714285714285712</v>
      </c>
    </row>
    <row r="52" spans="1:18" x14ac:dyDescent="0.2">
      <c r="A52" t="s">
        <v>73</v>
      </c>
      <c r="B52" t="s">
        <v>75</v>
      </c>
      <c r="C52">
        <v>1</v>
      </c>
      <c r="D52">
        <v>1</v>
      </c>
      <c r="E52">
        <v>0</v>
      </c>
      <c r="F52">
        <v>0</v>
      </c>
      <c r="G52">
        <v>5</v>
      </c>
      <c r="H52">
        <v>1</v>
      </c>
      <c r="I52">
        <v>3</v>
      </c>
      <c r="J52">
        <v>11</v>
      </c>
      <c r="L52">
        <f t="shared" si="22"/>
        <v>7</v>
      </c>
      <c r="M52">
        <f t="shared" si="27"/>
        <v>2</v>
      </c>
      <c r="N52">
        <f t="shared" si="26"/>
        <v>1</v>
      </c>
      <c r="O52">
        <f t="shared" si="23"/>
        <v>28.571428571428569</v>
      </c>
      <c r="P52">
        <f t="shared" si="24"/>
        <v>50</v>
      </c>
      <c r="R52">
        <f t="shared" si="25"/>
        <v>14.285714285714285</v>
      </c>
    </row>
    <row r="53" spans="1:18" x14ac:dyDescent="0.2">
      <c r="A53" t="s">
        <v>73</v>
      </c>
      <c r="B53" t="s">
        <v>76</v>
      </c>
      <c r="C53">
        <v>0</v>
      </c>
      <c r="D53">
        <v>7</v>
      </c>
      <c r="E53">
        <v>1</v>
      </c>
      <c r="F53">
        <v>1</v>
      </c>
      <c r="G53">
        <v>24</v>
      </c>
      <c r="H53">
        <v>2</v>
      </c>
      <c r="I53">
        <v>9</v>
      </c>
      <c r="J53">
        <v>44</v>
      </c>
      <c r="L53">
        <f t="shared" si="22"/>
        <v>31</v>
      </c>
      <c r="M53">
        <f t="shared" si="27"/>
        <v>7</v>
      </c>
      <c r="N53">
        <f t="shared" si="26"/>
        <v>0</v>
      </c>
      <c r="O53">
        <f t="shared" si="23"/>
        <v>22.58064516129032</v>
      </c>
      <c r="P53">
        <f t="shared" si="24"/>
        <v>0</v>
      </c>
      <c r="R53">
        <f t="shared" si="25"/>
        <v>0</v>
      </c>
    </row>
    <row r="54" spans="1:18" x14ac:dyDescent="0.2">
      <c r="A54" t="s">
        <v>73</v>
      </c>
      <c r="B54" t="s">
        <v>77</v>
      </c>
      <c r="C54">
        <v>2</v>
      </c>
      <c r="D54">
        <v>9</v>
      </c>
      <c r="E54">
        <v>2</v>
      </c>
      <c r="F54">
        <v>0</v>
      </c>
      <c r="G54">
        <v>4</v>
      </c>
      <c r="H54">
        <v>2</v>
      </c>
      <c r="I54">
        <v>0</v>
      </c>
      <c r="J54">
        <v>19</v>
      </c>
      <c r="L54">
        <f t="shared" si="22"/>
        <v>15</v>
      </c>
      <c r="M54">
        <f t="shared" si="27"/>
        <v>11</v>
      </c>
      <c r="N54">
        <f t="shared" si="26"/>
        <v>2</v>
      </c>
      <c r="O54">
        <f t="shared" si="23"/>
        <v>73.333333333333329</v>
      </c>
      <c r="P54">
        <f t="shared" si="24"/>
        <v>18.181818181818183</v>
      </c>
      <c r="R54">
        <f t="shared" si="25"/>
        <v>13.333333333333334</v>
      </c>
    </row>
    <row r="55" spans="1:18" x14ac:dyDescent="0.2">
      <c r="A55" t="s">
        <v>73</v>
      </c>
      <c r="B55" t="s">
        <v>78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3</v>
      </c>
      <c r="J55">
        <v>3</v>
      </c>
      <c r="L55">
        <f t="shared" si="22"/>
        <v>0</v>
      </c>
      <c r="M55">
        <f t="shared" si="27"/>
        <v>0</v>
      </c>
      <c r="N55">
        <f t="shared" si="26"/>
        <v>0</v>
      </c>
      <c r="O55" t="e">
        <f t="shared" si="23"/>
        <v>#DIV/0!</v>
      </c>
      <c r="P55" t="e">
        <f t="shared" si="24"/>
        <v>#DIV/0!</v>
      </c>
      <c r="R55" t="e">
        <f t="shared" si="25"/>
        <v>#DIV/0!</v>
      </c>
    </row>
    <row r="56" spans="1:18" x14ac:dyDescent="0.2">
      <c r="A56" t="s">
        <v>73</v>
      </c>
      <c r="B56" t="s">
        <v>79</v>
      </c>
      <c r="C56">
        <v>0</v>
      </c>
      <c r="D56">
        <v>3</v>
      </c>
      <c r="E56">
        <v>1</v>
      </c>
      <c r="F56">
        <v>0</v>
      </c>
      <c r="G56">
        <v>26</v>
      </c>
      <c r="H56">
        <v>1</v>
      </c>
      <c r="I56">
        <v>2</v>
      </c>
      <c r="J56">
        <v>33</v>
      </c>
      <c r="L56">
        <f t="shared" si="22"/>
        <v>29</v>
      </c>
      <c r="M56">
        <f t="shared" si="27"/>
        <v>3</v>
      </c>
      <c r="N56">
        <f t="shared" si="26"/>
        <v>0</v>
      </c>
      <c r="O56">
        <f t="shared" si="23"/>
        <v>10.344827586206897</v>
      </c>
      <c r="P56">
        <f t="shared" si="24"/>
        <v>0</v>
      </c>
      <c r="R56">
        <f t="shared" si="25"/>
        <v>0</v>
      </c>
    </row>
    <row r="57" spans="1:18" x14ac:dyDescent="0.2">
      <c r="A57" t="s">
        <v>73</v>
      </c>
      <c r="B57" t="s">
        <v>80</v>
      </c>
      <c r="C57">
        <v>1</v>
      </c>
      <c r="D57">
        <v>12</v>
      </c>
      <c r="E57">
        <v>1</v>
      </c>
      <c r="F57">
        <v>1</v>
      </c>
      <c r="G57">
        <v>15</v>
      </c>
      <c r="H57">
        <v>1</v>
      </c>
      <c r="I57">
        <v>4</v>
      </c>
      <c r="J57">
        <v>35</v>
      </c>
      <c r="L57">
        <f t="shared" si="22"/>
        <v>28</v>
      </c>
      <c r="M57">
        <f t="shared" si="27"/>
        <v>13</v>
      </c>
      <c r="N57">
        <f t="shared" si="26"/>
        <v>1</v>
      </c>
      <c r="O57">
        <f t="shared" si="23"/>
        <v>46.428571428571431</v>
      </c>
      <c r="P57">
        <f t="shared" si="24"/>
        <v>7.6923076923076925</v>
      </c>
      <c r="R57">
        <f t="shared" si="25"/>
        <v>3.5714285714285712</v>
      </c>
    </row>
    <row r="58" spans="1:18" x14ac:dyDescent="0.2">
      <c r="A58" t="s">
        <v>73</v>
      </c>
      <c r="B58" t="s">
        <v>81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</v>
      </c>
      <c r="J58">
        <v>2</v>
      </c>
      <c r="L58">
        <f t="shared" si="22"/>
        <v>0</v>
      </c>
      <c r="M58">
        <f t="shared" si="27"/>
        <v>0</v>
      </c>
      <c r="N58">
        <f t="shared" si="26"/>
        <v>0</v>
      </c>
      <c r="O58" t="e">
        <f t="shared" si="23"/>
        <v>#DIV/0!</v>
      </c>
      <c r="P58" t="e">
        <f t="shared" si="24"/>
        <v>#DIV/0!</v>
      </c>
      <c r="R58" t="e">
        <f t="shared" si="25"/>
        <v>#DIV/0!</v>
      </c>
    </row>
    <row r="59" spans="1:18" x14ac:dyDescent="0.2">
      <c r="A59" t="s">
        <v>73</v>
      </c>
      <c r="B59" t="s">
        <v>82</v>
      </c>
      <c r="C59">
        <v>0</v>
      </c>
      <c r="D59">
        <v>0</v>
      </c>
      <c r="E59">
        <v>0</v>
      </c>
      <c r="F59">
        <v>0</v>
      </c>
      <c r="G59">
        <v>8</v>
      </c>
      <c r="H59">
        <v>0</v>
      </c>
      <c r="I59">
        <v>0</v>
      </c>
      <c r="J59">
        <v>8</v>
      </c>
      <c r="L59">
        <f t="shared" si="22"/>
        <v>8</v>
      </c>
      <c r="M59">
        <f t="shared" si="27"/>
        <v>0</v>
      </c>
      <c r="N59">
        <f t="shared" si="26"/>
        <v>0</v>
      </c>
      <c r="O59">
        <f t="shared" si="23"/>
        <v>0</v>
      </c>
      <c r="P59" t="e">
        <f t="shared" si="24"/>
        <v>#DIV/0!</v>
      </c>
      <c r="R59">
        <f t="shared" si="25"/>
        <v>0</v>
      </c>
    </row>
    <row r="60" spans="1:18" x14ac:dyDescent="0.2">
      <c r="A60" t="s">
        <v>73</v>
      </c>
      <c r="B60" t="s">
        <v>83</v>
      </c>
      <c r="C60">
        <v>0</v>
      </c>
      <c r="D60">
        <v>2</v>
      </c>
      <c r="E60">
        <v>0</v>
      </c>
      <c r="F60">
        <v>0</v>
      </c>
      <c r="G60">
        <v>9</v>
      </c>
      <c r="H60">
        <v>0</v>
      </c>
      <c r="I60">
        <v>0</v>
      </c>
      <c r="J60">
        <v>11</v>
      </c>
      <c r="L60">
        <f t="shared" si="22"/>
        <v>11</v>
      </c>
      <c r="M60">
        <f t="shared" si="27"/>
        <v>2</v>
      </c>
      <c r="N60">
        <f t="shared" si="26"/>
        <v>0</v>
      </c>
      <c r="O60">
        <f t="shared" si="23"/>
        <v>18.181818181818183</v>
      </c>
      <c r="P60">
        <f t="shared" si="24"/>
        <v>0</v>
      </c>
      <c r="R60">
        <f t="shared" si="25"/>
        <v>0</v>
      </c>
    </row>
    <row r="61" spans="1:18" x14ac:dyDescent="0.2">
      <c r="A61" t="s">
        <v>73</v>
      </c>
      <c r="B61" t="s">
        <v>84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L61">
        <f t="shared" si="22"/>
        <v>1</v>
      </c>
      <c r="M61">
        <f t="shared" si="27"/>
        <v>1</v>
      </c>
      <c r="N61">
        <f t="shared" si="26"/>
        <v>1</v>
      </c>
      <c r="O61">
        <f t="shared" si="23"/>
        <v>100</v>
      </c>
      <c r="P61">
        <f t="shared" si="24"/>
        <v>100</v>
      </c>
      <c r="R61">
        <f t="shared" si="25"/>
        <v>100</v>
      </c>
    </row>
    <row r="62" spans="1:18" x14ac:dyDescent="0.2">
      <c r="A62" t="s">
        <v>73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2</v>
      </c>
      <c r="H62">
        <v>0</v>
      </c>
      <c r="I62">
        <v>0</v>
      </c>
      <c r="J62">
        <v>2</v>
      </c>
      <c r="L62">
        <f t="shared" si="22"/>
        <v>2</v>
      </c>
      <c r="M62">
        <f t="shared" si="27"/>
        <v>0</v>
      </c>
      <c r="N62">
        <f t="shared" si="26"/>
        <v>0</v>
      </c>
      <c r="O62">
        <f t="shared" si="23"/>
        <v>0</v>
      </c>
      <c r="P62" t="e">
        <f t="shared" si="24"/>
        <v>#DIV/0!</v>
      </c>
      <c r="R62">
        <f t="shared" si="25"/>
        <v>0</v>
      </c>
    </row>
    <row r="63" spans="1:18" x14ac:dyDescent="0.2">
      <c r="A63" t="s">
        <v>73</v>
      </c>
      <c r="B63" t="s">
        <v>86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L63">
        <f t="shared" si="22"/>
        <v>0</v>
      </c>
      <c r="M63">
        <f t="shared" si="27"/>
        <v>0</v>
      </c>
      <c r="N63">
        <f t="shared" si="26"/>
        <v>0</v>
      </c>
      <c r="O63" t="e">
        <f t="shared" si="23"/>
        <v>#DIV/0!</v>
      </c>
      <c r="P63" t="e">
        <f t="shared" si="24"/>
        <v>#DIV/0!</v>
      </c>
      <c r="R63" t="e">
        <f t="shared" si="25"/>
        <v>#DIV/0!</v>
      </c>
    </row>
    <row r="64" spans="1:18" x14ac:dyDescent="0.2">
      <c r="A64" t="s">
        <v>73</v>
      </c>
      <c r="B64" t="s">
        <v>87</v>
      </c>
      <c r="C64">
        <v>7</v>
      </c>
      <c r="D64">
        <v>22</v>
      </c>
      <c r="E64">
        <v>2</v>
      </c>
      <c r="F64">
        <v>2</v>
      </c>
      <c r="G64">
        <v>11</v>
      </c>
      <c r="H64">
        <v>4</v>
      </c>
      <c r="I64">
        <v>4</v>
      </c>
      <c r="J64">
        <v>52</v>
      </c>
      <c r="L64">
        <f t="shared" si="22"/>
        <v>40</v>
      </c>
      <c r="M64">
        <f t="shared" si="27"/>
        <v>29</v>
      </c>
      <c r="N64">
        <f t="shared" si="26"/>
        <v>7</v>
      </c>
      <c r="O64">
        <f t="shared" si="23"/>
        <v>72.5</v>
      </c>
      <c r="P64">
        <f t="shared" si="24"/>
        <v>24.137931034482758</v>
      </c>
      <c r="R64">
        <f t="shared" si="25"/>
        <v>17.5</v>
      </c>
    </row>
    <row r="65" spans="1:18" x14ac:dyDescent="0.2">
      <c r="A65" t="s">
        <v>73</v>
      </c>
      <c r="B65" t="s">
        <v>88</v>
      </c>
      <c r="C65">
        <v>0</v>
      </c>
      <c r="D65">
        <v>4</v>
      </c>
      <c r="E65">
        <v>0</v>
      </c>
      <c r="F65">
        <v>0</v>
      </c>
      <c r="G65">
        <v>7</v>
      </c>
      <c r="H65">
        <v>1</v>
      </c>
      <c r="I65">
        <v>0</v>
      </c>
      <c r="J65">
        <v>12</v>
      </c>
      <c r="L65">
        <f t="shared" si="22"/>
        <v>11</v>
      </c>
      <c r="M65">
        <f t="shared" si="27"/>
        <v>4</v>
      </c>
      <c r="N65">
        <f t="shared" si="26"/>
        <v>0</v>
      </c>
      <c r="O65">
        <f t="shared" si="23"/>
        <v>36.363636363636367</v>
      </c>
      <c r="P65">
        <f t="shared" si="24"/>
        <v>0</v>
      </c>
      <c r="R65">
        <f t="shared" si="25"/>
        <v>0</v>
      </c>
    </row>
    <row r="66" spans="1:18" x14ac:dyDescent="0.2">
      <c r="A66" t="s">
        <v>73</v>
      </c>
      <c r="B66" t="s">
        <v>89</v>
      </c>
      <c r="C66">
        <v>0</v>
      </c>
      <c r="D66">
        <v>1</v>
      </c>
      <c r="E66">
        <v>0</v>
      </c>
      <c r="F66">
        <v>0</v>
      </c>
      <c r="G66">
        <v>1</v>
      </c>
      <c r="H66">
        <v>0</v>
      </c>
      <c r="I66">
        <v>17</v>
      </c>
      <c r="J66">
        <v>19</v>
      </c>
      <c r="L66">
        <f t="shared" si="22"/>
        <v>2</v>
      </c>
      <c r="M66">
        <f t="shared" si="27"/>
        <v>1</v>
      </c>
      <c r="N66">
        <f t="shared" si="26"/>
        <v>0</v>
      </c>
      <c r="O66">
        <f t="shared" si="23"/>
        <v>50</v>
      </c>
      <c r="P66">
        <f t="shared" si="24"/>
        <v>0</v>
      </c>
      <c r="R66">
        <f t="shared" ref="R66:R93" si="28">N66/L66*100</f>
        <v>0</v>
      </c>
    </row>
    <row r="67" spans="1:18" x14ac:dyDescent="0.2">
      <c r="A67" t="s">
        <v>73</v>
      </c>
      <c r="B67" t="s">
        <v>90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14</v>
      </c>
      <c r="J67">
        <v>15</v>
      </c>
      <c r="L67">
        <f t="shared" si="22"/>
        <v>0</v>
      </c>
      <c r="M67">
        <f t="shared" si="27"/>
        <v>0</v>
      </c>
      <c r="N67">
        <f t="shared" si="26"/>
        <v>0</v>
      </c>
      <c r="O67" t="e">
        <f t="shared" si="23"/>
        <v>#DIV/0!</v>
      </c>
      <c r="P67" t="e">
        <f t="shared" si="24"/>
        <v>#DIV/0!</v>
      </c>
      <c r="R67" t="e">
        <f t="shared" si="28"/>
        <v>#DIV/0!</v>
      </c>
    </row>
    <row r="68" spans="1:18" x14ac:dyDescent="0.2">
      <c r="A68" t="s">
        <v>91</v>
      </c>
      <c r="B68" t="s">
        <v>92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1</v>
      </c>
      <c r="L68">
        <f t="shared" si="22"/>
        <v>1</v>
      </c>
      <c r="M68">
        <f t="shared" si="27"/>
        <v>0</v>
      </c>
      <c r="N68">
        <f t="shared" si="26"/>
        <v>0</v>
      </c>
      <c r="O68">
        <f t="shared" si="23"/>
        <v>0</v>
      </c>
      <c r="P68" t="e">
        <f t="shared" si="24"/>
        <v>#DIV/0!</v>
      </c>
      <c r="R68">
        <f t="shared" si="28"/>
        <v>0</v>
      </c>
    </row>
    <row r="69" spans="1:18" x14ac:dyDescent="0.2">
      <c r="A69" t="s">
        <v>91</v>
      </c>
      <c r="B69" t="s">
        <v>93</v>
      </c>
      <c r="C69">
        <v>0</v>
      </c>
      <c r="D69">
        <v>1</v>
      </c>
      <c r="E69">
        <v>0</v>
      </c>
      <c r="F69">
        <v>0</v>
      </c>
      <c r="G69">
        <v>3</v>
      </c>
      <c r="H69">
        <v>0</v>
      </c>
      <c r="I69">
        <v>0</v>
      </c>
      <c r="J69">
        <v>4</v>
      </c>
      <c r="L69">
        <f t="shared" si="22"/>
        <v>4</v>
      </c>
      <c r="M69">
        <f t="shared" si="27"/>
        <v>1</v>
      </c>
      <c r="N69">
        <f t="shared" si="26"/>
        <v>0</v>
      </c>
      <c r="O69">
        <f t="shared" si="23"/>
        <v>25</v>
      </c>
      <c r="P69">
        <f t="shared" si="24"/>
        <v>0</v>
      </c>
      <c r="R69">
        <f t="shared" si="28"/>
        <v>0</v>
      </c>
    </row>
    <row r="70" spans="1:18" x14ac:dyDescent="0.2">
      <c r="A70" t="s">
        <v>91</v>
      </c>
      <c r="B70" t="s">
        <v>94</v>
      </c>
      <c r="C70">
        <v>0</v>
      </c>
      <c r="D70">
        <v>0</v>
      </c>
      <c r="E70">
        <v>0</v>
      </c>
      <c r="F70">
        <v>0</v>
      </c>
      <c r="G70">
        <v>4</v>
      </c>
      <c r="H70">
        <v>0</v>
      </c>
      <c r="I70">
        <v>0</v>
      </c>
      <c r="J70">
        <v>4</v>
      </c>
      <c r="L70">
        <f t="shared" si="22"/>
        <v>4</v>
      </c>
      <c r="M70">
        <f t="shared" si="27"/>
        <v>0</v>
      </c>
      <c r="N70">
        <f t="shared" si="26"/>
        <v>0</v>
      </c>
      <c r="O70">
        <f t="shared" si="23"/>
        <v>0</v>
      </c>
      <c r="P70" t="e">
        <f t="shared" si="24"/>
        <v>#DIV/0!</v>
      </c>
      <c r="R70">
        <f t="shared" si="28"/>
        <v>0</v>
      </c>
    </row>
    <row r="71" spans="1:18" x14ac:dyDescent="0.2">
      <c r="A71" t="s">
        <v>91</v>
      </c>
      <c r="B71" t="s">
        <v>95</v>
      </c>
      <c r="C71">
        <v>0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1</v>
      </c>
      <c r="L71">
        <f t="shared" si="22"/>
        <v>1</v>
      </c>
      <c r="M71">
        <f t="shared" si="27"/>
        <v>0</v>
      </c>
      <c r="N71">
        <f t="shared" si="26"/>
        <v>0</v>
      </c>
      <c r="O71">
        <f t="shared" si="23"/>
        <v>0</v>
      </c>
      <c r="P71" t="e">
        <f t="shared" si="24"/>
        <v>#DIV/0!</v>
      </c>
      <c r="R71">
        <f t="shared" si="28"/>
        <v>0</v>
      </c>
    </row>
    <row r="72" spans="1:18" x14ac:dyDescent="0.2">
      <c r="A72" t="s">
        <v>91</v>
      </c>
      <c r="B72" t="s">
        <v>96</v>
      </c>
      <c r="C72">
        <v>0</v>
      </c>
      <c r="D72">
        <v>0</v>
      </c>
      <c r="E72">
        <v>0</v>
      </c>
      <c r="F72">
        <v>0</v>
      </c>
      <c r="G72">
        <v>8</v>
      </c>
      <c r="H72">
        <v>0</v>
      </c>
      <c r="I72">
        <v>0</v>
      </c>
      <c r="J72">
        <v>8</v>
      </c>
      <c r="L72">
        <f t="shared" si="22"/>
        <v>8</v>
      </c>
      <c r="M72">
        <f t="shared" si="27"/>
        <v>0</v>
      </c>
      <c r="N72">
        <f t="shared" si="26"/>
        <v>0</v>
      </c>
      <c r="O72">
        <f t="shared" si="23"/>
        <v>0</v>
      </c>
      <c r="P72" t="e">
        <f t="shared" si="24"/>
        <v>#DIV/0!</v>
      </c>
      <c r="R72">
        <f t="shared" si="28"/>
        <v>0</v>
      </c>
    </row>
    <row r="73" spans="1:18" x14ac:dyDescent="0.2">
      <c r="A73" t="s">
        <v>91</v>
      </c>
      <c r="B73" t="s">
        <v>97</v>
      </c>
      <c r="C73">
        <v>0</v>
      </c>
      <c r="D73">
        <v>0</v>
      </c>
      <c r="E73">
        <v>0</v>
      </c>
      <c r="F73">
        <v>0</v>
      </c>
      <c r="G73">
        <v>1</v>
      </c>
      <c r="H73">
        <v>0</v>
      </c>
      <c r="I73">
        <v>0</v>
      </c>
      <c r="J73">
        <v>1</v>
      </c>
      <c r="L73">
        <f t="shared" si="22"/>
        <v>1</v>
      </c>
      <c r="M73">
        <f t="shared" si="27"/>
        <v>0</v>
      </c>
      <c r="N73">
        <f t="shared" si="26"/>
        <v>0</v>
      </c>
      <c r="O73">
        <f t="shared" si="23"/>
        <v>0</v>
      </c>
      <c r="P73" t="e">
        <f t="shared" si="24"/>
        <v>#DIV/0!</v>
      </c>
      <c r="R73">
        <f t="shared" si="28"/>
        <v>0</v>
      </c>
    </row>
    <row r="74" spans="1:18" x14ac:dyDescent="0.2">
      <c r="A74" t="s">
        <v>91</v>
      </c>
      <c r="B74" t="s">
        <v>98</v>
      </c>
      <c r="C74">
        <v>2</v>
      </c>
      <c r="D74">
        <v>9</v>
      </c>
      <c r="E74">
        <v>0</v>
      </c>
      <c r="F74">
        <v>1</v>
      </c>
      <c r="G74">
        <v>84</v>
      </c>
      <c r="H74">
        <v>0</v>
      </c>
      <c r="I74">
        <v>0</v>
      </c>
      <c r="J74">
        <v>96</v>
      </c>
      <c r="L74">
        <f t="shared" si="22"/>
        <v>95</v>
      </c>
      <c r="M74">
        <f t="shared" si="27"/>
        <v>11</v>
      </c>
      <c r="N74">
        <f t="shared" si="26"/>
        <v>2</v>
      </c>
      <c r="O74">
        <f t="shared" si="23"/>
        <v>11.578947368421053</v>
      </c>
      <c r="P74">
        <f t="shared" si="24"/>
        <v>18.181818181818183</v>
      </c>
      <c r="R74">
        <f t="shared" si="28"/>
        <v>2.1052631578947367</v>
      </c>
    </row>
    <row r="75" spans="1:18" x14ac:dyDescent="0.2">
      <c r="A75" t="s">
        <v>99</v>
      </c>
      <c r="B75" t="s">
        <v>100</v>
      </c>
      <c r="C75">
        <v>0</v>
      </c>
      <c r="D75">
        <v>2</v>
      </c>
      <c r="E75">
        <v>0</v>
      </c>
      <c r="F75">
        <v>0</v>
      </c>
      <c r="G75">
        <v>1</v>
      </c>
      <c r="H75">
        <v>1</v>
      </c>
      <c r="I75">
        <v>0</v>
      </c>
      <c r="J75">
        <v>4</v>
      </c>
      <c r="L75">
        <f t="shared" si="22"/>
        <v>3</v>
      </c>
      <c r="M75">
        <f t="shared" si="27"/>
        <v>2</v>
      </c>
      <c r="N75">
        <f t="shared" si="26"/>
        <v>0</v>
      </c>
      <c r="O75">
        <f t="shared" si="23"/>
        <v>66.666666666666657</v>
      </c>
      <c r="P75">
        <f t="shared" si="24"/>
        <v>0</v>
      </c>
      <c r="R75">
        <f t="shared" si="28"/>
        <v>0</v>
      </c>
    </row>
    <row r="76" spans="1:18" x14ac:dyDescent="0.2">
      <c r="A76" t="s">
        <v>101</v>
      </c>
      <c r="B76" t="s">
        <v>102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1</v>
      </c>
      <c r="L76">
        <f t="shared" si="22"/>
        <v>0</v>
      </c>
      <c r="M76">
        <f t="shared" si="27"/>
        <v>0</v>
      </c>
      <c r="N76">
        <f t="shared" si="26"/>
        <v>0</v>
      </c>
      <c r="R76" t="e">
        <f t="shared" si="28"/>
        <v>#DIV/0!</v>
      </c>
    </row>
    <row r="77" spans="1:18" x14ac:dyDescent="0.2">
      <c r="A77" t="s">
        <v>103</v>
      </c>
      <c r="B77" t="s">
        <v>104</v>
      </c>
      <c r="C77">
        <v>0</v>
      </c>
      <c r="D77">
        <v>2</v>
      </c>
      <c r="E77">
        <v>0</v>
      </c>
      <c r="F77">
        <v>0</v>
      </c>
      <c r="G77">
        <v>1</v>
      </c>
      <c r="H77">
        <v>10</v>
      </c>
      <c r="I77">
        <v>9</v>
      </c>
      <c r="J77">
        <v>22</v>
      </c>
      <c r="L77">
        <f t="shared" si="22"/>
        <v>3</v>
      </c>
      <c r="M77">
        <f t="shared" si="27"/>
        <v>2</v>
      </c>
      <c r="N77">
        <f t="shared" si="26"/>
        <v>0</v>
      </c>
      <c r="O77">
        <f>M77/L77*100</f>
        <v>66.666666666666657</v>
      </c>
      <c r="P77">
        <f>N77/M77*100</f>
        <v>0</v>
      </c>
      <c r="R77">
        <f t="shared" si="28"/>
        <v>0</v>
      </c>
    </row>
    <row r="78" spans="1:18" x14ac:dyDescent="0.2">
      <c r="A78" t="s">
        <v>105</v>
      </c>
      <c r="B78" t="s">
        <v>106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22</v>
      </c>
      <c r="J78">
        <v>22</v>
      </c>
      <c r="L78">
        <f t="shared" si="22"/>
        <v>0</v>
      </c>
      <c r="M78">
        <f t="shared" si="27"/>
        <v>0</v>
      </c>
      <c r="N78">
        <f t="shared" si="26"/>
        <v>0</v>
      </c>
      <c r="R78" t="e">
        <f t="shared" si="28"/>
        <v>#DIV/0!</v>
      </c>
    </row>
    <row r="79" spans="1:18" x14ac:dyDescent="0.2">
      <c r="A79" t="s">
        <v>107</v>
      </c>
      <c r="B79" t="s">
        <v>108</v>
      </c>
      <c r="C79">
        <v>0</v>
      </c>
      <c r="D79">
        <v>4</v>
      </c>
      <c r="E79">
        <v>0</v>
      </c>
      <c r="F79">
        <v>0</v>
      </c>
      <c r="G79">
        <v>12</v>
      </c>
      <c r="H79">
        <v>0</v>
      </c>
      <c r="I79">
        <v>0</v>
      </c>
      <c r="J79">
        <v>16</v>
      </c>
      <c r="L79">
        <f t="shared" si="22"/>
        <v>16</v>
      </c>
      <c r="M79">
        <f t="shared" si="27"/>
        <v>4</v>
      </c>
      <c r="N79">
        <f t="shared" si="26"/>
        <v>0</v>
      </c>
      <c r="O79">
        <f t="shared" ref="O79:P85" si="29">M79/L79*100</f>
        <v>25</v>
      </c>
      <c r="P79">
        <f t="shared" si="29"/>
        <v>0</v>
      </c>
      <c r="R79">
        <f t="shared" si="28"/>
        <v>0</v>
      </c>
    </row>
    <row r="80" spans="1:18" x14ac:dyDescent="0.2">
      <c r="A80" t="s">
        <v>109</v>
      </c>
      <c r="B80" t="s">
        <v>110</v>
      </c>
      <c r="C80">
        <v>1</v>
      </c>
      <c r="D80">
        <v>0</v>
      </c>
      <c r="E80">
        <v>0</v>
      </c>
      <c r="F80">
        <v>0</v>
      </c>
      <c r="G80">
        <v>3</v>
      </c>
      <c r="H80">
        <v>0</v>
      </c>
      <c r="I80">
        <v>0</v>
      </c>
      <c r="J80">
        <v>4</v>
      </c>
      <c r="L80">
        <f t="shared" si="22"/>
        <v>4</v>
      </c>
      <c r="M80">
        <f t="shared" si="27"/>
        <v>1</v>
      </c>
      <c r="N80">
        <f t="shared" si="26"/>
        <v>1</v>
      </c>
      <c r="O80">
        <f t="shared" si="29"/>
        <v>25</v>
      </c>
      <c r="P80">
        <f t="shared" si="29"/>
        <v>100</v>
      </c>
      <c r="R80">
        <f t="shared" si="28"/>
        <v>25</v>
      </c>
    </row>
    <row r="81" spans="1:18" ht="16" customHeight="1" x14ac:dyDescent="0.2">
      <c r="A81" t="s">
        <v>111</v>
      </c>
      <c r="B81" t="s">
        <v>112</v>
      </c>
      <c r="C81">
        <v>2</v>
      </c>
      <c r="D81">
        <v>24</v>
      </c>
      <c r="E81">
        <v>2</v>
      </c>
      <c r="F81">
        <v>1</v>
      </c>
      <c r="G81">
        <v>18</v>
      </c>
      <c r="H81">
        <v>73</v>
      </c>
      <c r="I81">
        <v>8</v>
      </c>
      <c r="J81">
        <v>128</v>
      </c>
      <c r="L81">
        <f t="shared" si="22"/>
        <v>44</v>
      </c>
      <c r="M81">
        <f t="shared" si="27"/>
        <v>26</v>
      </c>
      <c r="N81">
        <f t="shared" si="26"/>
        <v>2</v>
      </c>
      <c r="O81">
        <f t="shared" si="29"/>
        <v>59.090909090909093</v>
      </c>
      <c r="P81">
        <f t="shared" si="29"/>
        <v>7.6923076923076925</v>
      </c>
      <c r="R81">
        <f t="shared" si="28"/>
        <v>4.5454545454545459</v>
      </c>
    </row>
    <row r="82" spans="1:18" x14ac:dyDescent="0.2">
      <c r="A82" t="s">
        <v>111</v>
      </c>
      <c r="B82" t="s">
        <v>113</v>
      </c>
      <c r="C82">
        <v>6</v>
      </c>
      <c r="D82">
        <v>10</v>
      </c>
      <c r="E82">
        <v>11</v>
      </c>
      <c r="F82">
        <v>0</v>
      </c>
      <c r="G82">
        <v>1</v>
      </c>
      <c r="H82">
        <v>66</v>
      </c>
      <c r="I82">
        <v>4</v>
      </c>
      <c r="J82">
        <v>98</v>
      </c>
      <c r="L82">
        <f t="shared" si="22"/>
        <v>17</v>
      </c>
      <c r="M82">
        <f t="shared" si="27"/>
        <v>16</v>
      </c>
      <c r="N82">
        <f t="shared" si="26"/>
        <v>6</v>
      </c>
      <c r="O82">
        <f t="shared" si="29"/>
        <v>94.117647058823522</v>
      </c>
      <c r="P82">
        <f t="shared" si="29"/>
        <v>37.5</v>
      </c>
      <c r="R82">
        <f t="shared" si="28"/>
        <v>35.294117647058826</v>
      </c>
    </row>
    <row r="83" spans="1:18" x14ac:dyDescent="0.2">
      <c r="A83" t="s">
        <v>111</v>
      </c>
      <c r="B83" t="s">
        <v>114</v>
      </c>
      <c r="C83">
        <v>2</v>
      </c>
      <c r="D83">
        <v>7</v>
      </c>
      <c r="E83">
        <v>0</v>
      </c>
      <c r="F83">
        <v>0</v>
      </c>
      <c r="G83">
        <v>5</v>
      </c>
      <c r="H83">
        <v>18</v>
      </c>
      <c r="I83">
        <v>2</v>
      </c>
      <c r="J83">
        <v>34</v>
      </c>
      <c r="L83">
        <f t="shared" si="22"/>
        <v>14</v>
      </c>
      <c r="M83">
        <f t="shared" si="27"/>
        <v>9</v>
      </c>
      <c r="N83">
        <f t="shared" si="26"/>
        <v>2</v>
      </c>
      <c r="O83">
        <f t="shared" si="29"/>
        <v>64.285714285714292</v>
      </c>
      <c r="P83">
        <f t="shared" si="29"/>
        <v>22.222222222222221</v>
      </c>
      <c r="R83">
        <f t="shared" si="28"/>
        <v>14.285714285714285</v>
      </c>
    </row>
    <row r="84" spans="1:18" x14ac:dyDescent="0.2">
      <c r="A84" t="s">
        <v>111</v>
      </c>
      <c r="B84" t="s">
        <v>115</v>
      </c>
      <c r="C84">
        <v>0</v>
      </c>
      <c r="D84">
        <v>4</v>
      </c>
      <c r="E84">
        <v>0</v>
      </c>
      <c r="F84">
        <v>0</v>
      </c>
      <c r="G84">
        <v>0</v>
      </c>
      <c r="H84">
        <v>10</v>
      </c>
      <c r="I84">
        <v>2</v>
      </c>
      <c r="J84">
        <v>16</v>
      </c>
      <c r="L84">
        <f t="shared" si="22"/>
        <v>4</v>
      </c>
      <c r="M84">
        <f t="shared" si="27"/>
        <v>4</v>
      </c>
      <c r="N84">
        <f t="shared" si="26"/>
        <v>0</v>
      </c>
      <c r="O84">
        <f t="shared" si="29"/>
        <v>100</v>
      </c>
      <c r="P84">
        <f t="shared" si="29"/>
        <v>0</v>
      </c>
      <c r="R84">
        <f t="shared" si="28"/>
        <v>0</v>
      </c>
    </row>
    <row r="85" spans="1:18" x14ac:dyDescent="0.2">
      <c r="A85" t="s">
        <v>111</v>
      </c>
      <c r="B85" t="s">
        <v>116</v>
      </c>
      <c r="C85">
        <v>0</v>
      </c>
      <c r="D85">
        <v>1</v>
      </c>
      <c r="E85">
        <v>1</v>
      </c>
      <c r="F85">
        <v>0</v>
      </c>
      <c r="G85">
        <v>4</v>
      </c>
      <c r="H85">
        <v>4</v>
      </c>
      <c r="I85">
        <v>1</v>
      </c>
      <c r="J85">
        <v>11</v>
      </c>
      <c r="L85">
        <f t="shared" si="22"/>
        <v>5</v>
      </c>
      <c r="M85">
        <f t="shared" si="27"/>
        <v>1</v>
      </c>
      <c r="N85">
        <f t="shared" si="26"/>
        <v>0</v>
      </c>
      <c r="O85">
        <f t="shared" si="29"/>
        <v>20</v>
      </c>
      <c r="P85">
        <f t="shared" si="29"/>
        <v>0</v>
      </c>
      <c r="R85">
        <f t="shared" si="28"/>
        <v>0</v>
      </c>
    </row>
    <row r="86" spans="1:18" x14ac:dyDescent="0.2">
      <c r="A86" t="s">
        <v>111</v>
      </c>
      <c r="B86" t="s">
        <v>117</v>
      </c>
      <c r="C86">
        <v>0</v>
      </c>
      <c r="D86">
        <v>0</v>
      </c>
      <c r="E86">
        <v>0</v>
      </c>
      <c r="F86">
        <v>0</v>
      </c>
      <c r="G86">
        <v>0</v>
      </c>
      <c r="H86">
        <v>3</v>
      </c>
      <c r="I86">
        <v>2</v>
      </c>
      <c r="J86">
        <v>5</v>
      </c>
      <c r="L86">
        <f t="shared" si="22"/>
        <v>0</v>
      </c>
      <c r="M86">
        <f t="shared" si="27"/>
        <v>0</v>
      </c>
      <c r="N86">
        <f t="shared" si="26"/>
        <v>0</v>
      </c>
      <c r="R86" t="e">
        <f t="shared" si="28"/>
        <v>#DIV/0!</v>
      </c>
    </row>
    <row r="87" spans="1:18" x14ac:dyDescent="0.2">
      <c r="A87" t="s">
        <v>118</v>
      </c>
      <c r="B87" t="s">
        <v>119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5</v>
      </c>
      <c r="J87">
        <v>6</v>
      </c>
      <c r="L87">
        <f t="shared" si="22"/>
        <v>0</v>
      </c>
      <c r="M87">
        <f t="shared" si="27"/>
        <v>0</v>
      </c>
      <c r="N87">
        <f t="shared" si="26"/>
        <v>0</v>
      </c>
      <c r="R87" t="e">
        <f t="shared" si="28"/>
        <v>#DIV/0!</v>
      </c>
    </row>
    <row r="88" spans="1:18" x14ac:dyDescent="0.2">
      <c r="A88" t="s">
        <v>120</v>
      </c>
      <c r="B88" t="s">
        <v>121</v>
      </c>
      <c r="C88">
        <v>0</v>
      </c>
      <c r="D88">
        <v>1</v>
      </c>
      <c r="E88">
        <v>0</v>
      </c>
      <c r="F88">
        <v>0</v>
      </c>
      <c r="G88">
        <v>13</v>
      </c>
      <c r="H88">
        <v>0</v>
      </c>
      <c r="I88">
        <v>3</v>
      </c>
      <c r="J88">
        <v>17</v>
      </c>
      <c r="L88">
        <f t="shared" si="22"/>
        <v>14</v>
      </c>
      <c r="M88">
        <f t="shared" si="27"/>
        <v>1</v>
      </c>
      <c r="N88">
        <f t="shared" si="26"/>
        <v>0</v>
      </c>
      <c r="O88">
        <f>M88/L88*100</f>
        <v>7.1428571428571423</v>
      </c>
      <c r="P88">
        <f>N88/M88*100</f>
        <v>0</v>
      </c>
      <c r="R88">
        <f t="shared" si="28"/>
        <v>0</v>
      </c>
    </row>
    <row r="89" spans="1:18" x14ac:dyDescent="0.2">
      <c r="A89" t="s">
        <v>122</v>
      </c>
      <c r="B89" t="s">
        <v>123</v>
      </c>
      <c r="C89">
        <v>0</v>
      </c>
      <c r="D89">
        <v>0</v>
      </c>
      <c r="E89">
        <v>1</v>
      </c>
      <c r="F89">
        <v>0</v>
      </c>
      <c r="G89">
        <v>0</v>
      </c>
      <c r="H89">
        <v>1</v>
      </c>
      <c r="I89">
        <v>0</v>
      </c>
      <c r="J89">
        <v>2</v>
      </c>
      <c r="L89">
        <f t="shared" si="22"/>
        <v>0</v>
      </c>
      <c r="M89">
        <f t="shared" si="27"/>
        <v>0</v>
      </c>
      <c r="N89">
        <f t="shared" si="26"/>
        <v>0</v>
      </c>
      <c r="R89" t="e">
        <f t="shared" si="28"/>
        <v>#DIV/0!</v>
      </c>
    </row>
    <row r="90" spans="1:18" x14ac:dyDescent="0.2">
      <c r="A90" t="s">
        <v>124</v>
      </c>
      <c r="B90" t="s">
        <v>125</v>
      </c>
      <c r="C90">
        <v>0</v>
      </c>
      <c r="D90">
        <v>0</v>
      </c>
      <c r="E90">
        <v>0</v>
      </c>
      <c r="F90">
        <v>0</v>
      </c>
      <c r="G90">
        <v>2</v>
      </c>
      <c r="H90">
        <v>2</v>
      </c>
      <c r="I90">
        <v>2</v>
      </c>
      <c r="J90">
        <v>6</v>
      </c>
      <c r="L90">
        <f>G90+D90+C90</f>
        <v>2</v>
      </c>
      <c r="M90">
        <f t="shared" si="27"/>
        <v>0</v>
      </c>
      <c r="N90">
        <f t="shared" si="26"/>
        <v>0</v>
      </c>
      <c r="O90">
        <f t="shared" ref="O90:P93" si="30">M90/L90*100</f>
        <v>0</v>
      </c>
      <c r="P90" t="e">
        <f t="shared" si="30"/>
        <v>#DIV/0!</v>
      </c>
      <c r="R90">
        <f t="shared" si="28"/>
        <v>0</v>
      </c>
    </row>
    <row r="91" spans="1:18" x14ac:dyDescent="0.2">
      <c r="A91" t="s">
        <v>126</v>
      </c>
      <c r="B91" t="s">
        <v>127</v>
      </c>
      <c r="C91">
        <v>0</v>
      </c>
      <c r="D91">
        <v>5</v>
      </c>
      <c r="E91">
        <v>0</v>
      </c>
      <c r="F91">
        <v>0</v>
      </c>
      <c r="G91">
        <v>24</v>
      </c>
      <c r="H91">
        <v>4</v>
      </c>
      <c r="I91">
        <v>3</v>
      </c>
      <c r="J91">
        <v>36</v>
      </c>
      <c r="L91">
        <f>G91+D91+C91</f>
        <v>29</v>
      </c>
      <c r="M91">
        <f>D91+C91</f>
        <v>5</v>
      </c>
      <c r="N91">
        <f t="shared" si="26"/>
        <v>0</v>
      </c>
      <c r="O91">
        <f t="shared" si="30"/>
        <v>17.241379310344829</v>
      </c>
      <c r="P91">
        <f t="shared" si="30"/>
        <v>0</v>
      </c>
      <c r="R91">
        <f t="shared" si="28"/>
        <v>0</v>
      </c>
    </row>
    <row r="92" spans="1:18" x14ac:dyDescent="0.2">
      <c r="A92" t="s">
        <v>128</v>
      </c>
      <c r="B92" t="s">
        <v>129</v>
      </c>
      <c r="C92">
        <v>0</v>
      </c>
      <c r="D92">
        <v>0</v>
      </c>
      <c r="E92">
        <v>0</v>
      </c>
      <c r="F92">
        <v>0</v>
      </c>
      <c r="G92">
        <v>3</v>
      </c>
      <c r="H92">
        <v>5</v>
      </c>
      <c r="I92">
        <v>2</v>
      </c>
      <c r="J92">
        <v>10</v>
      </c>
      <c r="L92">
        <f>G92+D92+C92</f>
        <v>3</v>
      </c>
      <c r="M92">
        <f>D92+C92</f>
        <v>0</v>
      </c>
      <c r="N92">
        <f t="shared" si="26"/>
        <v>0</v>
      </c>
      <c r="O92">
        <f t="shared" si="30"/>
        <v>0</v>
      </c>
      <c r="P92" t="e">
        <f t="shared" si="30"/>
        <v>#DIV/0!</v>
      </c>
      <c r="R92">
        <f t="shared" si="28"/>
        <v>0</v>
      </c>
    </row>
    <row r="93" spans="1:18" x14ac:dyDescent="0.2">
      <c r="B93" t="s">
        <v>130</v>
      </c>
      <c r="C93">
        <f t="shared" ref="C93:J93" si="31">SUM(C2:C92)</f>
        <v>82</v>
      </c>
      <c r="D93">
        <f t="shared" si="31"/>
        <v>891</v>
      </c>
      <c r="E93">
        <f t="shared" si="31"/>
        <v>65</v>
      </c>
      <c r="F93">
        <f t="shared" si="31"/>
        <v>49</v>
      </c>
      <c r="G93">
        <f t="shared" si="31"/>
        <v>1141</v>
      </c>
      <c r="H93">
        <f t="shared" si="31"/>
        <v>881</v>
      </c>
      <c r="I93">
        <f t="shared" si="31"/>
        <v>746</v>
      </c>
      <c r="J93">
        <f t="shared" si="31"/>
        <v>3855</v>
      </c>
      <c r="L93">
        <f>SUM(L2:L92)</f>
        <v>901</v>
      </c>
      <c r="M93">
        <f>SUM(M2:M92)</f>
        <v>405</v>
      </c>
      <c r="N93">
        <f>SUM(N2:N92)</f>
        <v>43</v>
      </c>
      <c r="O93">
        <f t="shared" si="30"/>
        <v>44.950055493895675</v>
      </c>
      <c r="P93">
        <f t="shared" si="30"/>
        <v>10.617283950617285</v>
      </c>
      <c r="R93">
        <f t="shared" si="28"/>
        <v>4.7724750277469479</v>
      </c>
    </row>
  </sheetData>
  <autoFilter ref="A1:S94" xr:uid="{00000000-0001-0000-0000-000000000000}"/>
  <pageMargins left="0.7" right="0.7" top="0.75" bottom="0.75" header="0.3" footer="0.3"/>
  <ignoredErrors>
    <ignoredError sqref="P92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#DENISE ONG RUI YING#</cp:lastModifiedBy>
  <dcterms:created xsi:type="dcterms:W3CDTF">2023-11-22T12:31:21Z</dcterms:created>
  <dcterms:modified xsi:type="dcterms:W3CDTF">2023-11-30T16:43:02Z</dcterms:modified>
</cp:coreProperties>
</file>