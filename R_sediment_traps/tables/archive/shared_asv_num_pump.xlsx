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7E15872F-FBB5-BB48-87A5-ACB268DA033F}" xr6:coauthVersionLast="47" xr6:coauthVersionMax="47" xr10:uidLastSave="{00000000-0000-0000-0000-000000000000}"/>
  <bookViews>
    <workbookView xWindow="37880" yWindow="1340" windowWidth="290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O91" i="1"/>
  <c r="O79" i="1"/>
  <c r="N91" i="1"/>
  <c r="M91" i="1"/>
  <c r="D91" i="1"/>
  <c r="E91" i="1"/>
  <c r="F91" i="1"/>
  <c r="G91" i="1"/>
  <c r="H91" i="1"/>
  <c r="I91" i="1"/>
  <c r="J91" i="1"/>
  <c r="K91" i="1"/>
  <c r="C9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2" i="1"/>
</calcChain>
</file>

<file path=xl/sharedStrings.xml><?xml version="1.0" encoding="utf-8"?>
<sst xmlns="http://schemas.openxmlformats.org/spreadsheetml/2006/main" count="194" uniqueCount="133">
  <si>
    <t>subdivision</t>
  </si>
  <si>
    <t>class</t>
  </si>
  <si>
    <t>all</t>
  </si>
  <si>
    <t>trap and sediment</t>
  </si>
  <si>
    <t>water and sediment</t>
  </si>
  <si>
    <t>water and trap</t>
  </si>
  <si>
    <t>core_CTD</t>
  </si>
  <si>
    <t>core_unique</t>
  </si>
  <si>
    <t>trap_fix_CTD</t>
  </si>
  <si>
    <t>trap_fix_unique</t>
  </si>
  <si>
    <t>water_pump_CTD</t>
  </si>
  <si>
    <t>water_pump_unique</t>
  </si>
  <si>
    <t>total</t>
  </si>
  <si>
    <t>Alveolata_X</t>
  </si>
  <si>
    <t>Alveolata_XX</t>
  </si>
  <si>
    <t>Ellobiopsidae</t>
  </si>
  <si>
    <t>Ancyromonadida_X</t>
  </si>
  <si>
    <t>Ancyromonadida_XX</t>
  </si>
  <si>
    <t>Apicomplexa</t>
  </si>
  <si>
    <t>Apicomplexa_X</t>
  </si>
  <si>
    <t>Coccidiomorphea</t>
  </si>
  <si>
    <t>Gregarinomorphea</t>
  </si>
  <si>
    <t>Apusomonada_X</t>
  </si>
  <si>
    <t>Apusomonadidae</t>
  </si>
  <si>
    <t>Archaeplastida_XX</t>
  </si>
  <si>
    <t>Archaeplastida_XXX</t>
  </si>
  <si>
    <t>Bigyra</t>
  </si>
  <si>
    <t>Bicoecea</t>
  </si>
  <si>
    <t>Bigyra_X</t>
  </si>
  <si>
    <t>Opalozoa</t>
  </si>
  <si>
    <t>Sagenista</t>
  </si>
  <si>
    <t>Breviatea_X</t>
  </si>
  <si>
    <t>Breviatea_XX</t>
  </si>
  <si>
    <t>Centroplasthelida_X</t>
  </si>
  <si>
    <t>Pterocystida</t>
  </si>
  <si>
    <t>Cercozoa</t>
  </si>
  <si>
    <t>Cercozoa_X</t>
  </si>
  <si>
    <t>Chlorarachniophyceae</t>
  </si>
  <si>
    <t>Endomyxa</t>
  </si>
  <si>
    <t>Endomyxa-Phytomyxea</t>
  </si>
  <si>
    <t>Filosa-Granofilosea</t>
  </si>
  <si>
    <t>Filosa-Imbricatea</t>
  </si>
  <si>
    <t>Filosa-Thecofilosea</t>
  </si>
  <si>
    <t>Phaeodarea</t>
  </si>
  <si>
    <t>Chlorophyta_X</t>
  </si>
  <si>
    <t>Chlorophyta_XX</t>
  </si>
  <si>
    <t>Chloropicophyceae</t>
  </si>
  <si>
    <t>Mamiellophyceae</t>
  </si>
  <si>
    <t>Prasino-Clade-VIII</t>
  </si>
  <si>
    <t>Pyramimonadophyceae</t>
  </si>
  <si>
    <t>Trebouxiophyceae</t>
  </si>
  <si>
    <t>Choanoflagellata</t>
  </si>
  <si>
    <t>Choanoflagellatea</t>
  </si>
  <si>
    <t>Ciliophora</t>
  </si>
  <si>
    <t>CONTH_1</t>
  </si>
  <si>
    <t>CONTH_3</t>
  </si>
  <si>
    <t>CONTH_6</t>
  </si>
  <si>
    <t>CONTH_8</t>
  </si>
  <si>
    <t>CONThreeP</t>
  </si>
  <si>
    <t>Ciliophora_X</t>
  </si>
  <si>
    <t>Cyclotrichium_like_organism</t>
  </si>
  <si>
    <t>Heterotrichea</t>
  </si>
  <si>
    <t>Litostomatea</t>
  </si>
  <si>
    <t>Oligohymenophorea</t>
  </si>
  <si>
    <t>Phyllopharyngea</t>
  </si>
  <si>
    <t>Prostomatea</t>
  </si>
  <si>
    <t>Spirotrichea</t>
  </si>
  <si>
    <t>Cryptophyta_X</t>
  </si>
  <si>
    <t>Cryptophyceae</t>
  </si>
  <si>
    <t>Dinoflagellata</t>
  </si>
  <si>
    <t>Dinoflagellata_X</t>
  </si>
  <si>
    <t>Dinophyceae</t>
  </si>
  <si>
    <t>Dinophyta_X</t>
  </si>
  <si>
    <t>Ellobiophyceae</t>
  </si>
  <si>
    <t>Noctilucophyceae</t>
  </si>
  <si>
    <t>Syndiniales</t>
  </si>
  <si>
    <t>Gyrista</t>
  </si>
  <si>
    <t>Bacillariophyceae</t>
  </si>
  <si>
    <t>Bolidophyceae</t>
  </si>
  <si>
    <t>Chrysophyceae</t>
  </si>
  <si>
    <t>Coscinodiscophyceae</t>
  </si>
  <si>
    <t>Developea</t>
  </si>
  <si>
    <t>Dictyochophyceae</t>
  </si>
  <si>
    <t>Gyrista_X</t>
  </si>
  <si>
    <t>Hyphochytriomyceta</t>
  </si>
  <si>
    <t>MOCH-2</t>
  </si>
  <si>
    <t>MOCH-3</t>
  </si>
  <si>
    <t>MOCH-4</t>
  </si>
  <si>
    <t>MOCH-5</t>
  </si>
  <si>
    <t>Mediophyceae</t>
  </si>
  <si>
    <t>Pelagophyceae</t>
  </si>
  <si>
    <t>Peronosporomycetes</t>
  </si>
  <si>
    <t>Pirsoniales</t>
  </si>
  <si>
    <t>Haptophyta_X</t>
  </si>
  <si>
    <t>Haptophyta_Clade_HAP2</t>
  </si>
  <si>
    <t>Haptophyta_Clade_HAP3</t>
  </si>
  <si>
    <t>Haptophyta_Clade_HAP4</t>
  </si>
  <si>
    <t>Haptophyta_Clade_HAP5</t>
  </si>
  <si>
    <t>Haptophyta_XX</t>
  </si>
  <si>
    <t>Prymnesiophyceae</t>
  </si>
  <si>
    <t>Kathablepharida</t>
  </si>
  <si>
    <t>Kathablepharidea</t>
  </si>
  <si>
    <t>Obazoa_XX</t>
  </si>
  <si>
    <t>Obazoa_XXX</t>
  </si>
  <si>
    <t>Opisthokonta_X</t>
  </si>
  <si>
    <t>Opisthokonta_XX</t>
  </si>
  <si>
    <t>Perkinsea</t>
  </si>
  <si>
    <t>Perkinsida</t>
  </si>
  <si>
    <t>Picozoa_X</t>
  </si>
  <si>
    <t>Picozoa_XX</t>
  </si>
  <si>
    <t>Prasinodermophyta_X</t>
  </si>
  <si>
    <t>Prasinodermophyceae</t>
  </si>
  <si>
    <t>Radiolaria</t>
  </si>
  <si>
    <t>Acantharea</t>
  </si>
  <si>
    <t>Polycystinea</t>
  </si>
  <si>
    <t>RAD-A</t>
  </si>
  <si>
    <t>RAD-B</t>
  </si>
  <si>
    <t>RAD-C</t>
  </si>
  <si>
    <t>Radiolaria_X</t>
  </si>
  <si>
    <t>Rotosphaerida</t>
  </si>
  <si>
    <t>Rotosphaerida_X</t>
  </si>
  <si>
    <t>Stramenopiles_X</t>
  </si>
  <si>
    <t>Stramenopiles_XX</t>
  </si>
  <si>
    <t>Streptophyta_X</t>
  </si>
  <si>
    <t>Embryophyceae</t>
  </si>
  <si>
    <t>TSAR_XX</t>
  </si>
  <si>
    <t>TSAR_XXX</t>
  </si>
  <si>
    <t>Telonemia_X</t>
  </si>
  <si>
    <t>Telonemia_XX</t>
  </si>
  <si>
    <t>Tubulinea_X</t>
  </si>
  <si>
    <t>Elardia</t>
  </si>
  <si>
    <t>CTD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</si>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</sst>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tabSelected="1" topLeftCell="A48" workbookViewId="0">
      <selection activeCell="O41" sqref="O41"/>
    </sheetView>
  </sheetViews>
  <sheetFormatPr baseColWidth="10" defaultColWidth="8.83203125" defaultRowHeight="15" x14ac:dyDescent="0.2"/>
  <cols>
    <col min="1" max="1" width="18.1640625" bestFit="1" customWidth="1"/>
    <col min="2" max="2" width="23.6640625" bestFit="1" customWidth="1"/>
    <col min="3" max="3" width="3.1640625" bestFit="1" customWidth="1"/>
    <col min="4" max="4" width="12.33203125" bestFit="1" customWidth="1"/>
    <col min="5" max="5" width="15.1640625" bestFit="1" customWidth="1"/>
    <col min="6" max="6" width="16.6640625" bestFit="1" customWidth="1"/>
    <col min="7" max="7" width="17.5" bestFit="1" customWidth="1"/>
    <col min="8" max="8" width="13.33203125" bestFit="1" customWidth="1"/>
    <col min="9" max="9" width="11" bestFit="1" customWidth="1"/>
    <col min="11" max="11" width="5.1640625" bestFit="1" customWidth="1"/>
    <col min="25" max="25" width="14.83203125" bestFit="1" customWidth="1"/>
    <col min="26" max="26" width="10.83203125" bestFit="1" customWidth="1"/>
    <col min="27" max="27" width="8.5" bestFit="1" customWidth="1"/>
  </cols>
  <sheetData>
    <row r="1" spans="1:27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11</v>
      </c>
      <c r="H1" s="1" t="s">
        <v>9</v>
      </c>
      <c r="I1" s="1" t="s">
        <v>7</v>
      </c>
      <c r="J1" s="1" t="s">
        <v>131</v>
      </c>
      <c r="K1" s="1" t="s">
        <v>12</v>
      </c>
      <c r="X1" s="1" t="s">
        <v>131</v>
      </c>
      <c r="Y1" s="1" t="s">
        <v>10</v>
      </c>
      <c r="Z1" s="1" t="s">
        <v>8</v>
      </c>
      <c r="AA1" s="1" t="s">
        <v>6</v>
      </c>
    </row>
    <row r="2" spans="1:27" x14ac:dyDescent="0.2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36</v>
      </c>
      <c r="J2">
        <v>0</v>
      </c>
      <c r="K2">
        <v>40</v>
      </c>
      <c r="M2">
        <v>0</v>
      </c>
      <c r="N2">
        <v>0</v>
      </c>
      <c r="X2">
        <f>SUM(Y2:AA2)</f>
        <v>0</v>
      </c>
      <c r="Y2">
        <v>0</v>
      </c>
      <c r="Z2">
        <v>0</v>
      </c>
      <c r="AA2">
        <v>0</v>
      </c>
    </row>
    <row r="3" spans="1:27" x14ac:dyDescent="0.2">
      <c r="A3" t="s">
        <v>13</v>
      </c>
      <c r="B3" t="s">
        <v>15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2</v>
      </c>
      <c r="K3">
        <v>3</v>
      </c>
      <c r="M3">
        <v>0</v>
      </c>
      <c r="N3">
        <v>0</v>
      </c>
      <c r="X3">
        <f t="shared" ref="X3:X66" si="0">SUM(Y3:AA3)</f>
        <v>2</v>
      </c>
      <c r="Y3">
        <v>1</v>
      </c>
      <c r="Z3">
        <v>1</v>
      </c>
      <c r="AA3">
        <v>0</v>
      </c>
    </row>
    <row r="4" spans="1:27" x14ac:dyDescent="0.2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3</v>
      </c>
      <c r="J4">
        <v>1</v>
      </c>
      <c r="K4">
        <v>6</v>
      </c>
      <c r="M4">
        <v>0</v>
      </c>
      <c r="N4">
        <v>0</v>
      </c>
      <c r="X4">
        <f t="shared" si="0"/>
        <v>1</v>
      </c>
      <c r="Y4">
        <v>0</v>
      </c>
      <c r="Z4">
        <v>1</v>
      </c>
      <c r="AA4">
        <v>0</v>
      </c>
    </row>
    <row r="5" spans="1:27" x14ac:dyDescent="0.2">
      <c r="A5" t="s">
        <v>18</v>
      </c>
      <c r="B5" t="s">
        <v>19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4</v>
      </c>
      <c r="K5">
        <v>6</v>
      </c>
      <c r="M5">
        <v>0</v>
      </c>
      <c r="N5">
        <v>0</v>
      </c>
      <c r="X5">
        <f t="shared" si="0"/>
        <v>4</v>
      </c>
      <c r="Y5">
        <v>3</v>
      </c>
      <c r="Z5">
        <v>1</v>
      </c>
      <c r="AA5">
        <v>0</v>
      </c>
    </row>
    <row r="6" spans="1:27" x14ac:dyDescent="0.2">
      <c r="A6" t="s">
        <v>18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M6">
        <v>0</v>
      </c>
      <c r="N6">
        <v>0</v>
      </c>
      <c r="X6">
        <f t="shared" si="0"/>
        <v>0</v>
      </c>
      <c r="Y6">
        <v>0</v>
      </c>
      <c r="Z6">
        <v>0</v>
      </c>
      <c r="AA6">
        <v>0</v>
      </c>
    </row>
    <row r="7" spans="1:27" x14ac:dyDescent="0.2">
      <c r="A7" t="s">
        <v>18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19</v>
      </c>
      <c r="J7">
        <v>0</v>
      </c>
      <c r="K7">
        <v>19</v>
      </c>
      <c r="M7">
        <v>0</v>
      </c>
      <c r="N7">
        <v>0</v>
      </c>
      <c r="X7">
        <f t="shared" si="0"/>
        <v>0</v>
      </c>
      <c r="Y7">
        <v>0</v>
      </c>
      <c r="Z7">
        <v>0</v>
      </c>
      <c r="AA7">
        <v>0</v>
      </c>
    </row>
    <row r="8" spans="1:27" x14ac:dyDescent="0.2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</v>
      </c>
      <c r="J8">
        <v>1</v>
      </c>
      <c r="K8">
        <v>11</v>
      </c>
      <c r="M8">
        <v>0</v>
      </c>
      <c r="N8">
        <v>0</v>
      </c>
      <c r="X8">
        <f t="shared" si="0"/>
        <v>1</v>
      </c>
      <c r="Y8">
        <v>0</v>
      </c>
      <c r="Z8">
        <v>1</v>
      </c>
      <c r="AA8">
        <v>0</v>
      </c>
    </row>
    <row r="9" spans="1:27" x14ac:dyDescent="0.2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3</v>
      </c>
      <c r="M9">
        <v>0</v>
      </c>
      <c r="N9">
        <v>0</v>
      </c>
      <c r="X9">
        <f t="shared" si="0"/>
        <v>2</v>
      </c>
      <c r="Y9">
        <v>1</v>
      </c>
      <c r="Z9">
        <v>1</v>
      </c>
      <c r="AA9">
        <v>0</v>
      </c>
    </row>
    <row r="10" spans="1:27" x14ac:dyDescent="0.2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3</v>
      </c>
      <c r="K10">
        <v>5</v>
      </c>
      <c r="M10">
        <v>0</v>
      </c>
      <c r="N10">
        <v>0</v>
      </c>
      <c r="X10">
        <f t="shared" si="0"/>
        <v>3</v>
      </c>
      <c r="Y10">
        <v>0</v>
      </c>
      <c r="Z10">
        <v>2</v>
      </c>
      <c r="AA10">
        <v>1</v>
      </c>
    </row>
    <row r="11" spans="1:27" x14ac:dyDescent="0.2">
      <c r="A11" t="s">
        <v>26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M11">
        <v>0</v>
      </c>
      <c r="N11">
        <v>0</v>
      </c>
      <c r="X11">
        <f t="shared" si="0"/>
        <v>0</v>
      </c>
      <c r="Y11">
        <v>0</v>
      </c>
      <c r="Z11">
        <v>0</v>
      </c>
      <c r="AA11">
        <v>0</v>
      </c>
    </row>
    <row r="12" spans="1:27" x14ac:dyDescent="0.2">
      <c r="A12" t="s">
        <v>26</v>
      </c>
      <c r="B12" t="s">
        <v>29</v>
      </c>
      <c r="C12">
        <v>0</v>
      </c>
      <c r="D12">
        <v>0</v>
      </c>
      <c r="E12">
        <v>0</v>
      </c>
      <c r="F12">
        <v>1</v>
      </c>
      <c r="G12">
        <v>13</v>
      </c>
      <c r="H12">
        <v>0</v>
      </c>
      <c r="I12">
        <v>6</v>
      </c>
      <c r="J12">
        <v>25</v>
      </c>
      <c r="K12">
        <v>45</v>
      </c>
      <c r="M12">
        <v>0</v>
      </c>
      <c r="N12">
        <v>0</v>
      </c>
      <c r="X12">
        <f t="shared" si="0"/>
        <v>25</v>
      </c>
      <c r="Y12">
        <v>20</v>
      </c>
      <c r="Z12">
        <v>5</v>
      </c>
      <c r="AA12">
        <v>0</v>
      </c>
    </row>
    <row r="13" spans="1:27" x14ac:dyDescent="0.2">
      <c r="A13" t="s">
        <v>26</v>
      </c>
      <c r="B13" t="s">
        <v>30</v>
      </c>
      <c r="C13">
        <v>3</v>
      </c>
      <c r="D13">
        <v>3</v>
      </c>
      <c r="E13">
        <v>0</v>
      </c>
      <c r="F13">
        <v>3</v>
      </c>
      <c r="G13">
        <v>13</v>
      </c>
      <c r="H13">
        <v>2</v>
      </c>
      <c r="I13">
        <v>51</v>
      </c>
      <c r="J13">
        <v>39</v>
      </c>
      <c r="K13">
        <v>114</v>
      </c>
      <c r="M13">
        <v>3</v>
      </c>
      <c r="N13">
        <v>3</v>
      </c>
      <c r="X13">
        <f t="shared" si="0"/>
        <v>39</v>
      </c>
      <c r="Y13">
        <v>30</v>
      </c>
      <c r="Z13">
        <v>1</v>
      </c>
      <c r="AA13">
        <v>8</v>
      </c>
    </row>
    <row r="14" spans="1:27" x14ac:dyDescent="0.2">
      <c r="A14" t="s">
        <v>31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M14">
        <v>0</v>
      </c>
      <c r="N14">
        <v>0</v>
      </c>
      <c r="X14">
        <f t="shared" si="0"/>
        <v>0</v>
      </c>
      <c r="Y14">
        <v>0</v>
      </c>
      <c r="Z14">
        <v>0</v>
      </c>
      <c r="AA14">
        <v>0</v>
      </c>
    </row>
    <row r="15" spans="1:27" x14ac:dyDescent="0.2">
      <c r="A15" t="s">
        <v>33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3</v>
      </c>
      <c r="K15">
        <v>4</v>
      </c>
      <c r="M15">
        <v>0</v>
      </c>
      <c r="N15">
        <v>0</v>
      </c>
      <c r="X15">
        <f t="shared" si="0"/>
        <v>3</v>
      </c>
      <c r="Y15">
        <v>2</v>
      </c>
      <c r="Z15">
        <v>1</v>
      </c>
      <c r="AA15">
        <v>0</v>
      </c>
    </row>
    <row r="16" spans="1:27" x14ac:dyDescent="0.2">
      <c r="A16" t="s">
        <v>35</v>
      </c>
      <c r="B16" t="s">
        <v>36</v>
      </c>
      <c r="C16">
        <v>0</v>
      </c>
      <c r="D16">
        <v>1</v>
      </c>
      <c r="E16">
        <v>0</v>
      </c>
      <c r="F16">
        <v>0</v>
      </c>
      <c r="G16">
        <v>2</v>
      </c>
      <c r="H16">
        <v>1</v>
      </c>
      <c r="I16">
        <v>67</v>
      </c>
      <c r="J16">
        <v>7</v>
      </c>
      <c r="K16">
        <v>78</v>
      </c>
      <c r="M16">
        <v>0</v>
      </c>
      <c r="N16">
        <v>1</v>
      </c>
      <c r="X16">
        <f t="shared" si="0"/>
        <v>7</v>
      </c>
      <c r="Y16">
        <v>3</v>
      </c>
      <c r="Z16">
        <v>3</v>
      </c>
      <c r="AA16">
        <v>1</v>
      </c>
    </row>
    <row r="17" spans="1:27" x14ac:dyDescent="0.2">
      <c r="A17" t="s">
        <v>35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2</v>
      </c>
      <c r="J17">
        <v>2</v>
      </c>
      <c r="K17">
        <v>5</v>
      </c>
      <c r="M17">
        <v>0</v>
      </c>
      <c r="N17">
        <v>0</v>
      </c>
      <c r="X17">
        <f t="shared" si="0"/>
        <v>2</v>
      </c>
      <c r="Y17">
        <v>2</v>
      </c>
      <c r="Z17">
        <v>0</v>
      </c>
      <c r="AA17">
        <v>0</v>
      </c>
    </row>
    <row r="18" spans="1:27" x14ac:dyDescent="0.2">
      <c r="A18" t="s">
        <v>35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7</v>
      </c>
      <c r="J18">
        <v>2</v>
      </c>
      <c r="K18">
        <v>10</v>
      </c>
      <c r="M18">
        <v>0</v>
      </c>
      <c r="N18">
        <v>0</v>
      </c>
      <c r="X18">
        <f t="shared" si="0"/>
        <v>2</v>
      </c>
      <c r="Y18">
        <v>1</v>
      </c>
      <c r="Z18">
        <v>0</v>
      </c>
      <c r="AA18">
        <v>1</v>
      </c>
    </row>
    <row r="19" spans="1:27" x14ac:dyDescent="0.2">
      <c r="A19" t="s">
        <v>35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</v>
      </c>
      <c r="J19">
        <v>0</v>
      </c>
      <c r="K19">
        <v>10</v>
      </c>
      <c r="M19">
        <v>0</v>
      </c>
      <c r="N19">
        <v>0</v>
      </c>
      <c r="X19">
        <f t="shared" si="0"/>
        <v>0</v>
      </c>
      <c r="Y19">
        <v>0</v>
      </c>
      <c r="Z19">
        <v>0</v>
      </c>
      <c r="AA19">
        <v>0</v>
      </c>
    </row>
    <row r="20" spans="1:27" x14ac:dyDescent="0.2">
      <c r="A20" t="s">
        <v>35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4</v>
      </c>
      <c r="K20">
        <v>5</v>
      </c>
      <c r="M20">
        <v>0</v>
      </c>
      <c r="N20">
        <v>0</v>
      </c>
      <c r="X20">
        <f t="shared" si="0"/>
        <v>4</v>
      </c>
      <c r="Y20">
        <v>1</v>
      </c>
      <c r="Z20">
        <v>2</v>
      </c>
      <c r="AA20">
        <v>1</v>
      </c>
    </row>
    <row r="21" spans="1:27" x14ac:dyDescent="0.2">
      <c r="A21" t="s">
        <v>35</v>
      </c>
      <c r="B21" t="s">
        <v>41</v>
      </c>
      <c r="C21">
        <v>1</v>
      </c>
      <c r="D21">
        <v>0</v>
      </c>
      <c r="E21">
        <v>0</v>
      </c>
      <c r="F21">
        <v>2</v>
      </c>
      <c r="G21">
        <v>4</v>
      </c>
      <c r="H21">
        <v>0</v>
      </c>
      <c r="I21">
        <v>51</v>
      </c>
      <c r="J21">
        <v>8</v>
      </c>
      <c r="K21">
        <v>66</v>
      </c>
      <c r="M21">
        <v>1</v>
      </c>
      <c r="N21">
        <v>0</v>
      </c>
      <c r="X21">
        <f t="shared" si="0"/>
        <v>8</v>
      </c>
      <c r="Y21">
        <v>4</v>
      </c>
      <c r="Z21">
        <v>0</v>
      </c>
      <c r="AA21">
        <v>4</v>
      </c>
    </row>
    <row r="22" spans="1:27" x14ac:dyDescent="0.2">
      <c r="A22" t="s">
        <v>35</v>
      </c>
      <c r="B22" t="s">
        <v>42</v>
      </c>
      <c r="C22">
        <v>1</v>
      </c>
      <c r="D22">
        <v>0</v>
      </c>
      <c r="E22">
        <v>0</v>
      </c>
      <c r="F22">
        <v>5</v>
      </c>
      <c r="G22">
        <v>6</v>
      </c>
      <c r="H22">
        <v>1</v>
      </c>
      <c r="I22">
        <v>126</v>
      </c>
      <c r="J22">
        <v>15</v>
      </c>
      <c r="K22">
        <v>154</v>
      </c>
      <c r="M22">
        <v>1</v>
      </c>
      <c r="N22">
        <v>0</v>
      </c>
      <c r="X22">
        <f t="shared" si="0"/>
        <v>15</v>
      </c>
      <c r="Y22">
        <v>5</v>
      </c>
      <c r="Z22">
        <v>4</v>
      </c>
      <c r="AA22">
        <v>6</v>
      </c>
    </row>
    <row r="23" spans="1:27" x14ac:dyDescent="0.2">
      <c r="A23" t="s">
        <v>35</v>
      </c>
      <c r="B23" t="s">
        <v>43</v>
      </c>
      <c r="C23">
        <v>0</v>
      </c>
      <c r="D23">
        <v>3</v>
      </c>
      <c r="E23">
        <v>0</v>
      </c>
      <c r="F23">
        <v>0</v>
      </c>
      <c r="G23">
        <v>3</v>
      </c>
      <c r="H23">
        <v>3</v>
      </c>
      <c r="I23">
        <v>0</v>
      </c>
      <c r="J23">
        <v>0</v>
      </c>
      <c r="K23">
        <v>9</v>
      </c>
      <c r="M23">
        <v>0</v>
      </c>
      <c r="N23">
        <v>3</v>
      </c>
      <c r="X23">
        <f t="shared" si="0"/>
        <v>0</v>
      </c>
      <c r="Y23">
        <v>0</v>
      </c>
      <c r="Z23">
        <v>0</v>
      </c>
      <c r="AA23">
        <v>0</v>
      </c>
    </row>
    <row r="24" spans="1:27" x14ac:dyDescent="0.2">
      <c r="A24" t="s">
        <v>44</v>
      </c>
      <c r="B24" t="s">
        <v>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2</v>
      </c>
      <c r="M24">
        <v>0</v>
      </c>
      <c r="N24">
        <v>0</v>
      </c>
      <c r="X24">
        <f t="shared" si="0"/>
        <v>2</v>
      </c>
      <c r="Y24">
        <v>1</v>
      </c>
      <c r="Z24">
        <v>1</v>
      </c>
      <c r="AA24">
        <v>0</v>
      </c>
    </row>
    <row r="25" spans="1:27" x14ac:dyDescent="0.2">
      <c r="A25" t="s">
        <v>44</v>
      </c>
      <c r="B25" t="s">
        <v>46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19</v>
      </c>
      <c r="K25">
        <v>20</v>
      </c>
      <c r="M25">
        <v>0</v>
      </c>
      <c r="N25">
        <v>0</v>
      </c>
      <c r="X25">
        <f t="shared" si="0"/>
        <v>19</v>
      </c>
      <c r="Y25">
        <v>7</v>
      </c>
      <c r="Z25">
        <v>6</v>
      </c>
      <c r="AA25">
        <v>6</v>
      </c>
    </row>
    <row r="26" spans="1:27" x14ac:dyDescent="0.2">
      <c r="A26" t="s">
        <v>44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18</v>
      </c>
      <c r="K26">
        <v>20</v>
      </c>
      <c r="M26">
        <v>0</v>
      </c>
      <c r="N26">
        <v>0</v>
      </c>
      <c r="X26">
        <f t="shared" si="0"/>
        <v>18</v>
      </c>
      <c r="Y26">
        <v>7</v>
      </c>
      <c r="Z26">
        <v>7</v>
      </c>
      <c r="AA26">
        <v>4</v>
      </c>
    </row>
    <row r="27" spans="1:27" x14ac:dyDescent="0.2">
      <c r="A27" t="s">
        <v>44</v>
      </c>
      <c r="B27" t="s">
        <v>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2</v>
      </c>
      <c r="M27">
        <v>0</v>
      </c>
      <c r="N27">
        <v>0</v>
      </c>
      <c r="X27">
        <f t="shared" si="0"/>
        <v>2</v>
      </c>
      <c r="Y27">
        <v>0</v>
      </c>
      <c r="Z27">
        <v>1</v>
      </c>
      <c r="AA27">
        <v>1</v>
      </c>
    </row>
    <row r="28" spans="1:27" x14ac:dyDescent="0.2">
      <c r="A28" t="s">
        <v>44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10</v>
      </c>
      <c r="K28">
        <v>12</v>
      </c>
      <c r="M28">
        <v>0</v>
      </c>
      <c r="N28">
        <v>0</v>
      </c>
      <c r="X28">
        <f t="shared" si="0"/>
        <v>10</v>
      </c>
      <c r="Y28">
        <v>4</v>
      </c>
      <c r="Z28">
        <v>4</v>
      </c>
      <c r="AA28">
        <v>2</v>
      </c>
    </row>
    <row r="29" spans="1:27" x14ac:dyDescent="0.2">
      <c r="A29" t="s">
        <v>44</v>
      </c>
      <c r="B29" t="s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3</v>
      </c>
      <c r="M29">
        <v>0</v>
      </c>
      <c r="N29">
        <v>0</v>
      </c>
      <c r="X29">
        <f t="shared" si="0"/>
        <v>3</v>
      </c>
      <c r="Y29">
        <v>1</v>
      </c>
      <c r="Z29">
        <v>1</v>
      </c>
      <c r="AA29">
        <v>1</v>
      </c>
    </row>
    <row r="30" spans="1:27" x14ac:dyDescent="0.2">
      <c r="A30" t="s">
        <v>51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14</v>
      </c>
      <c r="K30">
        <v>17</v>
      </c>
      <c r="M30">
        <v>0</v>
      </c>
      <c r="N30">
        <v>0</v>
      </c>
      <c r="X30">
        <f t="shared" si="0"/>
        <v>14</v>
      </c>
      <c r="Y30">
        <v>9</v>
      </c>
      <c r="Z30">
        <v>5</v>
      </c>
      <c r="AA30">
        <v>0</v>
      </c>
    </row>
    <row r="31" spans="1:27" x14ac:dyDescent="0.2">
      <c r="A31" t="s">
        <v>53</v>
      </c>
      <c r="B31" t="s">
        <v>54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M31">
        <v>0</v>
      </c>
      <c r="N31">
        <v>0</v>
      </c>
      <c r="X31">
        <f t="shared" si="0"/>
        <v>0</v>
      </c>
      <c r="Y31">
        <v>0</v>
      </c>
      <c r="Z31">
        <v>0</v>
      </c>
      <c r="AA31">
        <v>0</v>
      </c>
    </row>
    <row r="32" spans="1:27" x14ac:dyDescent="0.2">
      <c r="A32" t="s">
        <v>53</v>
      </c>
      <c r="B32" t="s">
        <v>55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M32">
        <v>0</v>
      </c>
      <c r="N32">
        <v>0</v>
      </c>
      <c r="X32">
        <f t="shared" si="0"/>
        <v>0</v>
      </c>
      <c r="Y32">
        <v>0</v>
      </c>
      <c r="Z32">
        <v>0</v>
      </c>
      <c r="AA32">
        <v>0</v>
      </c>
    </row>
    <row r="33" spans="1:27" x14ac:dyDescent="0.2">
      <c r="A33" t="s">
        <v>53</v>
      </c>
      <c r="B33" t="s">
        <v>56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  <c r="K33">
        <v>2</v>
      </c>
      <c r="M33">
        <v>0</v>
      </c>
      <c r="N33">
        <v>0</v>
      </c>
      <c r="X33">
        <f t="shared" si="0"/>
        <v>0</v>
      </c>
      <c r="Y33">
        <v>0</v>
      </c>
      <c r="Z33">
        <v>0</v>
      </c>
      <c r="AA33">
        <v>0</v>
      </c>
    </row>
    <row r="34" spans="1:27" x14ac:dyDescent="0.2">
      <c r="A34" t="s">
        <v>53</v>
      </c>
      <c r="B34" t="s">
        <v>57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</v>
      </c>
      <c r="K34">
        <v>3</v>
      </c>
      <c r="M34">
        <v>0</v>
      </c>
      <c r="N34">
        <v>0</v>
      </c>
      <c r="X34">
        <f t="shared" si="0"/>
        <v>2</v>
      </c>
      <c r="Y34">
        <v>0</v>
      </c>
      <c r="Z34">
        <v>2</v>
      </c>
      <c r="AA34">
        <v>0</v>
      </c>
    </row>
    <row r="35" spans="1:27" x14ac:dyDescent="0.2">
      <c r="A35" t="s">
        <v>53</v>
      </c>
      <c r="B35" t="s">
        <v>58</v>
      </c>
      <c r="C35">
        <v>0</v>
      </c>
      <c r="D35">
        <v>1</v>
      </c>
      <c r="E35">
        <v>0</v>
      </c>
      <c r="F35">
        <v>0</v>
      </c>
      <c r="G35">
        <v>1</v>
      </c>
      <c r="H35">
        <v>11</v>
      </c>
      <c r="I35">
        <v>0</v>
      </c>
      <c r="J35">
        <v>17</v>
      </c>
      <c r="K35">
        <v>30</v>
      </c>
      <c r="M35">
        <v>0</v>
      </c>
      <c r="N35">
        <v>1</v>
      </c>
      <c r="X35">
        <f t="shared" si="0"/>
        <v>17</v>
      </c>
      <c r="Y35">
        <v>6</v>
      </c>
      <c r="Z35">
        <v>11</v>
      </c>
      <c r="AA35">
        <v>0</v>
      </c>
    </row>
    <row r="36" spans="1:27" x14ac:dyDescent="0.2">
      <c r="A36" t="s">
        <v>53</v>
      </c>
      <c r="B36" t="s">
        <v>59</v>
      </c>
      <c r="C36">
        <v>0</v>
      </c>
      <c r="D36">
        <v>0</v>
      </c>
      <c r="E36">
        <v>0</v>
      </c>
      <c r="F36">
        <v>0</v>
      </c>
      <c r="G36">
        <v>0</v>
      </c>
      <c r="H36">
        <v>6</v>
      </c>
      <c r="I36">
        <v>4</v>
      </c>
      <c r="J36">
        <v>10</v>
      </c>
      <c r="K36">
        <v>20</v>
      </c>
      <c r="M36">
        <v>0</v>
      </c>
      <c r="N36">
        <v>0</v>
      </c>
      <c r="X36">
        <f t="shared" si="0"/>
        <v>10</v>
      </c>
      <c r="Y36">
        <v>3</v>
      </c>
      <c r="Z36">
        <v>6</v>
      </c>
      <c r="AA36">
        <v>1</v>
      </c>
    </row>
    <row r="37" spans="1:27" x14ac:dyDescent="0.2">
      <c r="A37" t="s">
        <v>53</v>
      </c>
      <c r="B37" t="s">
        <v>60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M37">
        <v>0</v>
      </c>
      <c r="N37">
        <v>0</v>
      </c>
      <c r="X37">
        <f t="shared" si="0"/>
        <v>0</v>
      </c>
      <c r="Y37">
        <v>0</v>
      </c>
      <c r="Z37">
        <v>0</v>
      </c>
      <c r="AA37">
        <v>0</v>
      </c>
    </row>
    <row r="38" spans="1:27" x14ac:dyDescent="0.2">
      <c r="A38" t="s">
        <v>53</v>
      </c>
      <c r="B38" t="s">
        <v>61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4</v>
      </c>
      <c r="M38">
        <v>0</v>
      </c>
      <c r="N38">
        <v>1</v>
      </c>
      <c r="X38">
        <f t="shared" si="0"/>
        <v>3</v>
      </c>
      <c r="Y38">
        <v>1</v>
      </c>
      <c r="Z38">
        <v>2</v>
      </c>
      <c r="AA38">
        <v>0</v>
      </c>
    </row>
    <row r="39" spans="1:27" x14ac:dyDescent="0.2">
      <c r="A39" t="s">
        <v>53</v>
      </c>
      <c r="B39" t="s">
        <v>62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28</v>
      </c>
      <c r="J39">
        <v>5</v>
      </c>
      <c r="K39">
        <v>35</v>
      </c>
      <c r="M39">
        <v>0</v>
      </c>
      <c r="N39">
        <v>0</v>
      </c>
      <c r="X39">
        <f t="shared" si="0"/>
        <v>5</v>
      </c>
      <c r="Y39">
        <v>2</v>
      </c>
      <c r="Z39">
        <v>3</v>
      </c>
      <c r="AA39">
        <v>0</v>
      </c>
    </row>
    <row r="40" spans="1:27" x14ac:dyDescent="0.2">
      <c r="A40" t="s">
        <v>53</v>
      </c>
      <c r="B40" t="s">
        <v>63</v>
      </c>
      <c r="C40">
        <v>0</v>
      </c>
      <c r="D40">
        <v>11</v>
      </c>
      <c r="E40">
        <v>0</v>
      </c>
      <c r="F40">
        <v>0</v>
      </c>
      <c r="G40">
        <v>3</v>
      </c>
      <c r="H40">
        <v>91</v>
      </c>
      <c r="I40">
        <v>28</v>
      </c>
      <c r="J40">
        <v>17</v>
      </c>
      <c r="K40">
        <v>150</v>
      </c>
      <c r="M40">
        <v>0</v>
      </c>
      <c r="N40">
        <v>11</v>
      </c>
      <c r="O40">
        <f>SUM(M31:N45)</f>
        <v>40</v>
      </c>
      <c r="X40">
        <f t="shared" si="0"/>
        <v>17</v>
      </c>
      <c r="Y40">
        <v>4</v>
      </c>
      <c r="Z40">
        <v>13</v>
      </c>
      <c r="AA40">
        <v>0</v>
      </c>
    </row>
    <row r="41" spans="1:27" x14ac:dyDescent="0.2">
      <c r="A41" t="s">
        <v>53</v>
      </c>
      <c r="B41" t="s">
        <v>64</v>
      </c>
      <c r="C41">
        <v>0</v>
      </c>
      <c r="D41">
        <v>0</v>
      </c>
      <c r="E41">
        <v>1</v>
      </c>
      <c r="F41">
        <v>0</v>
      </c>
      <c r="G41">
        <v>0</v>
      </c>
      <c r="H41">
        <v>19</v>
      </c>
      <c r="I41">
        <v>11</v>
      </c>
      <c r="J41">
        <v>21</v>
      </c>
      <c r="K41">
        <v>52</v>
      </c>
      <c r="M41">
        <v>0</v>
      </c>
      <c r="N41">
        <v>0</v>
      </c>
      <c r="X41">
        <f t="shared" si="0"/>
        <v>21</v>
      </c>
      <c r="Y41">
        <v>2</v>
      </c>
      <c r="Z41">
        <v>18</v>
      </c>
      <c r="AA41">
        <v>1</v>
      </c>
    </row>
    <row r="42" spans="1:27" x14ac:dyDescent="0.2">
      <c r="A42" t="s">
        <v>53</v>
      </c>
      <c r="B42" t="s">
        <v>65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2</v>
      </c>
      <c r="M42">
        <v>0</v>
      </c>
      <c r="N42">
        <v>0</v>
      </c>
      <c r="X42">
        <f t="shared" si="0"/>
        <v>2</v>
      </c>
      <c r="Y42">
        <v>0</v>
      </c>
      <c r="Z42">
        <v>2</v>
      </c>
      <c r="AA42">
        <v>0</v>
      </c>
    </row>
    <row r="43" spans="1:27" x14ac:dyDescent="0.2">
      <c r="A43" t="s">
        <v>53</v>
      </c>
      <c r="B43" t="s">
        <v>66</v>
      </c>
      <c r="C43">
        <v>1</v>
      </c>
      <c r="D43">
        <v>18</v>
      </c>
      <c r="E43">
        <v>2</v>
      </c>
      <c r="F43">
        <v>1</v>
      </c>
      <c r="G43">
        <v>9</v>
      </c>
      <c r="H43">
        <v>144</v>
      </c>
      <c r="I43">
        <v>42</v>
      </c>
      <c r="J43">
        <v>164</v>
      </c>
      <c r="K43">
        <v>381</v>
      </c>
      <c r="M43">
        <v>1</v>
      </c>
      <c r="N43">
        <v>18</v>
      </c>
      <c r="X43">
        <f t="shared" si="0"/>
        <v>164</v>
      </c>
      <c r="Y43">
        <v>38</v>
      </c>
      <c r="Z43">
        <v>125</v>
      </c>
      <c r="AA43">
        <v>1</v>
      </c>
    </row>
    <row r="44" spans="1:27" x14ac:dyDescent="0.2">
      <c r="A44" t="s">
        <v>67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10</v>
      </c>
      <c r="K44">
        <v>12</v>
      </c>
      <c r="M44">
        <v>0</v>
      </c>
      <c r="N44">
        <v>0</v>
      </c>
      <c r="X44">
        <f t="shared" si="0"/>
        <v>10</v>
      </c>
      <c r="Y44">
        <v>5</v>
      </c>
      <c r="Z44">
        <v>5</v>
      </c>
      <c r="AA44">
        <v>0</v>
      </c>
    </row>
    <row r="45" spans="1:27" x14ac:dyDescent="0.2">
      <c r="A45" t="s">
        <v>69</v>
      </c>
      <c r="B45" t="s">
        <v>70</v>
      </c>
      <c r="C45">
        <v>0</v>
      </c>
      <c r="D45">
        <v>8</v>
      </c>
      <c r="E45">
        <v>0</v>
      </c>
      <c r="F45">
        <v>1</v>
      </c>
      <c r="G45">
        <v>13</v>
      </c>
      <c r="H45">
        <v>2</v>
      </c>
      <c r="I45">
        <v>0</v>
      </c>
      <c r="J45">
        <v>7</v>
      </c>
      <c r="K45">
        <v>31</v>
      </c>
      <c r="M45">
        <v>0</v>
      </c>
      <c r="N45">
        <v>8</v>
      </c>
      <c r="X45">
        <f t="shared" si="0"/>
        <v>7</v>
      </c>
      <c r="Y45">
        <v>4</v>
      </c>
      <c r="Z45">
        <v>3</v>
      </c>
      <c r="AA45">
        <v>0</v>
      </c>
    </row>
    <row r="46" spans="1:27" x14ac:dyDescent="0.2">
      <c r="A46" t="s">
        <v>69</v>
      </c>
      <c r="B46" t="s">
        <v>71</v>
      </c>
      <c r="C46">
        <v>2</v>
      </c>
      <c r="D46">
        <v>39</v>
      </c>
      <c r="E46">
        <v>4</v>
      </c>
      <c r="F46">
        <v>0</v>
      </c>
      <c r="G46">
        <v>52</v>
      </c>
      <c r="H46">
        <v>93</v>
      </c>
      <c r="I46">
        <v>30</v>
      </c>
      <c r="J46">
        <v>410</v>
      </c>
      <c r="K46">
        <v>630</v>
      </c>
      <c r="X46">
        <f t="shared" si="0"/>
        <v>410</v>
      </c>
      <c r="Y46">
        <v>155</v>
      </c>
      <c r="Z46">
        <v>236</v>
      </c>
      <c r="AA46">
        <v>19</v>
      </c>
    </row>
    <row r="47" spans="1:27" x14ac:dyDescent="0.2">
      <c r="A47" t="s">
        <v>69</v>
      </c>
      <c r="B47" t="s">
        <v>72</v>
      </c>
      <c r="C47">
        <v>0</v>
      </c>
      <c r="D47">
        <v>0</v>
      </c>
      <c r="E47">
        <v>0</v>
      </c>
      <c r="F47">
        <v>0</v>
      </c>
      <c r="G47">
        <v>7</v>
      </c>
      <c r="H47">
        <v>0</v>
      </c>
      <c r="I47">
        <v>0</v>
      </c>
      <c r="J47">
        <v>2</v>
      </c>
      <c r="K47">
        <v>9</v>
      </c>
      <c r="X47">
        <f t="shared" si="0"/>
        <v>2</v>
      </c>
      <c r="Y47">
        <v>1</v>
      </c>
      <c r="Z47">
        <v>1</v>
      </c>
      <c r="AA47">
        <v>0</v>
      </c>
    </row>
    <row r="48" spans="1:27" x14ac:dyDescent="0.2">
      <c r="A48" t="s">
        <v>69</v>
      </c>
      <c r="B48" t="s">
        <v>73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2</v>
      </c>
      <c r="X48">
        <f t="shared" si="0"/>
        <v>0</v>
      </c>
      <c r="Y48">
        <v>0</v>
      </c>
      <c r="Z48">
        <v>0</v>
      </c>
      <c r="AA48">
        <v>0</v>
      </c>
    </row>
    <row r="49" spans="1:27" x14ac:dyDescent="0.2">
      <c r="A49" t="s">
        <v>69</v>
      </c>
      <c r="B49" t="s">
        <v>74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5</v>
      </c>
      <c r="K49">
        <v>6</v>
      </c>
      <c r="X49">
        <f t="shared" si="0"/>
        <v>5</v>
      </c>
      <c r="Y49">
        <v>1</v>
      </c>
      <c r="Z49">
        <v>4</v>
      </c>
      <c r="AA49">
        <v>0</v>
      </c>
    </row>
    <row r="50" spans="1:27" x14ac:dyDescent="0.2">
      <c r="A50" t="s">
        <v>69</v>
      </c>
      <c r="B50" t="s">
        <v>75</v>
      </c>
      <c r="C50">
        <v>23</v>
      </c>
      <c r="D50">
        <v>112</v>
      </c>
      <c r="E50">
        <v>3</v>
      </c>
      <c r="F50">
        <v>37</v>
      </c>
      <c r="G50">
        <v>344</v>
      </c>
      <c r="H50">
        <v>82</v>
      </c>
      <c r="I50">
        <v>26</v>
      </c>
      <c r="J50">
        <v>720</v>
      </c>
      <c r="K50">
        <v>1347</v>
      </c>
      <c r="X50">
        <f t="shared" si="0"/>
        <v>720</v>
      </c>
      <c r="Y50">
        <v>355</v>
      </c>
      <c r="Z50">
        <v>324</v>
      </c>
      <c r="AA50">
        <v>41</v>
      </c>
    </row>
    <row r="51" spans="1:27" x14ac:dyDescent="0.2">
      <c r="A51" t="s">
        <v>76</v>
      </c>
      <c r="B51" t="s">
        <v>77</v>
      </c>
      <c r="C51">
        <v>0</v>
      </c>
      <c r="D51">
        <v>1</v>
      </c>
      <c r="E51">
        <v>1</v>
      </c>
      <c r="F51">
        <v>0</v>
      </c>
      <c r="G51">
        <v>1</v>
      </c>
      <c r="H51">
        <v>2</v>
      </c>
      <c r="I51">
        <v>3</v>
      </c>
      <c r="J51">
        <v>26</v>
      </c>
      <c r="K51">
        <v>34</v>
      </c>
      <c r="M51">
        <v>0</v>
      </c>
      <c r="N51">
        <v>1</v>
      </c>
      <c r="X51">
        <f t="shared" si="0"/>
        <v>26</v>
      </c>
      <c r="Y51">
        <v>11</v>
      </c>
      <c r="Z51">
        <v>14</v>
      </c>
      <c r="AA51">
        <v>1</v>
      </c>
    </row>
    <row r="52" spans="1:27" x14ac:dyDescent="0.2">
      <c r="A52" t="s">
        <v>76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6</v>
      </c>
      <c r="K52">
        <v>10</v>
      </c>
      <c r="M52">
        <v>0</v>
      </c>
      <c r="N52">
        <v>0</v>
      </c>
      <c r="X52">
        <f t="shared" si="0"/>
        <v>6</v>
      </c>
      <c r="Y52">
        <v>3</v>
      </c>
      <c r="Z52">
        <v>2</v>
      </c>
      <c r="AA52">
        <v>1</v>
      </c>
    </row>
    <row r="53" spans="1:27" x14ac:dyDescent="0.2">
      <c r="A53" t="s">
        <v>76</v>
      </c>
      <c r="B53" t="s">
        <v>79</v>
      </c>
      <c r="C53">
        <v>1</v>
      </c>
      <c r="D53">
        <v>0</v>
      </c>
      <c r="E53">
        <v>0</v>
      </c>
      <c r="F53">
        <v>0</v>
      </c>
      <c r="G53">
        <v>2</v>
      </c>
      <c r="H53">
        <v>2</v>
      </c>
      <c r="I53">
        <v>9</v>
      </c>
      <c r="J53">
        <v>13</v>
      </c>
      <c r="K53">
        <v>27</v>
      </c>
      <c r="M53">
        <v>1</v>
      </c>
      <c r="N53">
        <v>0</v>
      </c>
      <c r="X53">
        <f t="shared" si="0"/>
        <v>13</v>
      </c>
      <c r="Y53">
        <v>5</v>
      </c>
      <c r="Z53">
        <v>7</v>
      </c>
      <c r="AA53">
        <v>1</v>
      </c>
    </row>
    <row r="54" spans="1:27" x14ac:dyDescent="0.2">
      <c r="A54" t="s">
        <v>76</v>
      </c>
      <c r="B54" t="s">
        <v>80</v>
      </c>
      <c r="C54">
        <v>2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18</v>
      </c>
      <c r="K54">
        <v>22</v>
      </c>
      <c r="M54">
        <v>2</v>
      </c>
      <c r="N54">
        <v>2</v>
      </c>
      <c r="X54">
        <f t="shared" si="0"/>
        <v>18</v>
      </c>
      <c r="Y54">
        <v>5</v>
      </c>
      <c r="Z54">
        <v>11</v>
      </c>
      <c r="AA54">
        <v>2</v>
      </c>
    </row>
    <row r="55" spans="1:27" x14ac:dyDescent="0.2">
      <c r="A55" t="s">
        <v>76</v>
      </c>
      <c r="B55" t="s">
        <v>81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3</v>
      </c>
      <c r="M55">
        <v>0</v>
      </c>
      <c r="N55">
        <v>0</v>
      </c>
      <c r="X55">
        <f t="shared" si="0"/>
        <v>0</v>
      </c>
      <c r="Y55">
        <v>0</v>
      </c>
      <c r="Z55">
        <v>0</v>
      </c>
      <c r="AA55">
        <v>0</v>
      </c>
    </row>
    <row r="56" spans="1:27" x14ac:dyDescent="0.2">
      <c r="A56" t="s">
        <v>76</v>
      </c>
      <c r="B56" t="s">
        <v>82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2</v>
      </c>
      <c r="J56">
        <v>11</v>
      </c>
      <c r="K56">
        <v>15</v>
      </c>
      <c r="M56">
        <v>0</v>
      </c>
      <c r="N56">
        <v>0</v>
      </c>
      <c r="X56">
        <f t="shared" si="0"/>
        <v>11</v>
      </c>
      <c r="Y56">
        <v>8</v>
      </c>
      <c r="Z56">
        <v>3</v>
      </c>
      <c r="AA56">
        <v>0</v>
      </c>
    </row>
    <row r="57" spans="1:27" x14ac:dyDescent="0.2">
      <c r="A57" t="s">
        <v>76</v>
      </c>
      <c r="B57" t="s">
        <v>83</v>
      </c>
      <c r="C57">
        <v>1</v>
      </c>
      <c r="D57">
        <v>0</v>
      </c>
      <c r="E57">
        <v>0</v>
      </c>
      <c r="F57">
        <v>0</v>
      </c>
      <c r="G57">
        <v>3</v>
      </c>
      <c r="H57">
        <v>1</v>
      </c>
      <c r="I57">
        <v>4</v>
      </c>
      <c r="J57">
        <v>32</v>
      </c>
      <c r="K57">
        <v>41</v>
      </c>
      <c r="M57">
        <v>1</v>
      </c>
      <c r="N57">
        <v>0</v>
      </c>
      <c r="X57">
        <f t="shared" si="0"/>
        <v>32</v>
      </c>
      <c r="Y57">
        <v>17</v>
      </c>
      <c r="Z57">
        <v>13</v>
      </c>
      <c r="AA57">
        <v>2</v>
      </c>
    </row>
    <row r="58" spans="1:27" x14ac:dyDescent="0.2">
      <c r="A58" t="s">
        <v>76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  <c r="K58">
        <v>2</v>
      </c>
      <c r="M58">
        <v>0</v>
      </c>
      <c r="N58">
        <v>0</v>
      </c>
      <c r="X58">
        <f t="shared" si="0"/>
        <v>0</v>
      </c>
      <c r="Y58">
        <v>0</v>
      </c>
      <c r="Z58">
        <v>0</v>
      </c>
      <c r="AA58">
        <v>0</v>
      </c>
    </row>
    <row r="59" spans="1:27" x14ac:dyDescent="0.2">
      <c r="A59" t="s">
        <v>76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</v>
      </c>
      <c r="K59">
        <v>4</v>
      </c>
      <c r="M59">
        <v>0</v>
      </c>
      <c r="N59">
        <v>0</v>
      </c>
      <c r="X59">
        <f t="shared" si="0"/>
        <v>4</v>
      </c>
      <c r="Y59">
        <v>2</v>
      </c>
      <c r="Z59">
        <v>2</v>
      </c>
      <c r="AA59">
        <v>0</v>
      </c>
    </row>
    <row r="60" spans="1:27" x14ac:dyDescent="0.2">
      <c r="A60" t="s">
        <v>76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3</v>
      </c>
      <c r="M60">
        <v>0</v>
      </c>
      <c r="N60">
        <v>0</v>
      </c>
      <c r="X60">
        <f t="shared" si="0"/>
        <v>3</v>
      </c>
      <c r="Y60">
        <v>1</v>
      </c>
      <c r="Z60">
        <v>1</v>
      </c>
      <c r="AA60">
        <v>1</v>
      </c>
    </row>
    <row r="61" spans="1:27" x14ac:dyDescent="0.2">
      <c r="A61" t="s">
        <v>76</v>
      </c>
      <c r="B61" t="s">
        <v>87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2</v>
      </c>
      <c r="K61">
        <v>3</v>
      </c>
      <c r="M61">
        <v>0</v>
      </c>
      <c r="N61">
        <v>0</v>
      </c>
      <c r="X61">
        <f t="shared" si="0"/>
        <v>2</v>
      </c>
      <c r="Y61">
        <v>2</v>
      </c>
      <c r="Z61">
        <v>0</v>
      </c>
      <c r="AA61">
        <v>0</v>
      </c>
    </row>
    <row r="62" spans="1:27" x14ac:dyDescent="0.2">
      <c r="A62" t="s">
        <v>76</v>
      </c>
      <c r="B62" t="s">
        <v>88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M62">
        <v>0</v>
      </c>
      <c r="N62">
        <v>0</v>
      </c>
      <c r="X62">
        <f t="shared" si="0"/>
        <v>0</v>
      </c>
      <c r="Y62">
        <v>0</v>
      </c>
      <c r="Z62">
        <v>0</v>
      </c>
      <c r="AA62">
        <v>0</v>
      </c>
    </row>
    <row r="63" spans="1:27" x14ac:dyDescent="0.2">
      <c r="A63" t="s">
        <v>76</v>
      </c>
      <c r="B63" t="s">
        <v>89</v>
      </c>
      <c r="C63">
        <v>1</v>
      </c>
      <c r="D63">
        <v>2</v>
      </c>
      <c r="E63">
        <v>1</v>
      </c>
      <c r="F63">
        <v>1</v>
      </c>
      <c r="G63">
        <v>0</v>
      </c>
      <c r="H63">
        <v>2</v>
      </c>
      <c r="I63">
        <v>3</v>
      </c>
      <c r="J63">
        <v>56</v>
      </c>
      <c r="K63">
        <v>66</v>
      </c>
      <c r="M63">
        <v>1</v>
      </c>
      <c r="N63">
        <v>2</v>
      </c>
      <c r="X63">
        <f t="shared" si="0"/>
        <v>56</v>
      </c>
      <c r="Y63">
        <v>18</v>
      </c>
      <c r="Z63">
        <v>29</v>
      </c>
      <c r="AA63">
        <v>9</v>
      </c>
    </row>
    <row r="64" spans="1:27" x14ac:dyDescent="0.2">
      <c r="A64" t="s">
        <v>76</v>
      </c>
      <c r="B64" t="s">
        <v>90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11</v>
      </c>
      <c r="K64">
        <v>13</v>
      </c>
      <c r="M64">
        <v>0</v>
      </c>
      <c r="N64">
        <v>0</v>
      </c>
      <c r="X64">
        <f t="shared" si="0"/>
        <v>11</v>
      </c>
      <c r="Y64">
        <v>7</v>
      </c>
      <c r="Z64">
        <v>4</v>
      </c>
      <c r="AA64">
        <v>0</v>
      </c>
    </row>
    <row r="65" spans="1:27" x14ac:dyDescent="0.2">
      <c r="A65" t="s">
        <v>76</v>
      </c>
      <c r="B65" t="s">
        <v>91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17</v>
      </c>
      <c r="J65">
        <v>3</v>
      </c>
      <c r="K65">
        <v>20</v>
      </c>
      <c r="M65">
        <v>0</v>
      </c>
      <c r="N65">
        <v>0</v>
      </c>
      <c r="X65">
        <f t="shared" si="0"/>
        <v>3</v>
      </c>
      <c r="Y65">
        <v>2</v>
      </c>
      <c r="Z65">
        <v>1</v>
      </c>
      <c r="AA65">
        <v>0</v>
      </c>
    </row>
    <row r="66" spans="1:27" x14ac:dyDescent="0.2">
      <c r="A66" t="s">
        <v>76</v>
      </c>
      <c r="B66" t="s">
        <v>92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14</v>
      </c>
      <c r="J66">
        <v>0</v>
      </c>
      <c r="K66">
        <v>15</v>
      </c>
      <c r="M66">
        <v>0</v>
      </c>
      <c r="N66">
        <v>0</v>
      </c>
      <c r="X66">
        <f t="shared" si="0"/>
        <v>0</v>
      </c>
      <c r="Y66">
        <v>0</v>
      </c>
      <c r="Z66">
        <v>0</v>
      </c>
      <c r="AA66">
        <v>0</v>
      </c>
    </row>
    <row r="67" spans="1:27" x14ac:dyDescent="0.2">
      <c r="A67" t="s">
        <v>93</v>
      </c>
      <c r="B67" t="s">
        <v>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M67">
        <v>0</v>
      </c>
      <c r="N67">
        <v>0</v>
      </c>
      <c r="X67">
        <f t="shared" ref="X67:X90" si="1">SUM(Y67:AA67)</f>
        <v>1</v>
      </c>
      <c r="Y67">
        <v>1</v>
      </c>
      <c r="Z67">
        <v>0</v>
      </c>
      <c r="AA67">
        <v>0</v>
      </c>
    </row>
    <row r="68" spans="1:27" x14ac:dyDescent="0.2">
      <c r="A68" t="s">
        <v>93</v>
      </c>
      <c r="B68" t="s">
        <v>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2</v>
      </c>
      <c r="M68">
        <v>0</v>
      </c>
      <c r="N68">
        <v>0</v>
      </c>
      <c r="X68">
        <f t="shared" si="1"/>
        <v>2</v>
      </c>
      <c r="Y68">
        <v>1</v>
      </c>
      <c r="Z68">
        <v>1</v>
      </c>
      <c r="AA68">
        <v>0</v>
      </c>
    </row>
    <row r="69" spans="1:27" x14ac:dyDescent="0.2">
      <c r="A69" t="s">
        <v>93</v>
      </c>
      <c r="B69" t="s">
        <v>96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M69">
        <v>0</v>
      </c>
      <c r="N69">
        <v>0</v>
      </c>
      <c r="X69">
        <f t="shared" si="1"/>
        <v>0</v>
      </c>
      <c r="Y69">
        <v>0</v>
      </c>
      <c r="Z69">
        <v>0</v>
      </c>
      <c r="AA69">
        <v>0</v>
      </c>
    </row>
    <row r="70" spans="1:27" x14ac:dyDescent="0.2">
      <c r="A70" t="s">
        <v>93</v>
      </c>
      <c r="B70" t="s">
        <v>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M70">
        <v>0</v>
      </c>
      <c r="N70">
        <v>0</v>
      </c>
      <c r="X70">
        <f t="shared" si="1"/>
        <v>1</v>
      </c>
      <c r="Y70">
        <v>1</v>
      </c>
      <c r="Z70">
        <v>0</v>
      </c>
      <c r="AA70">
        <v>0</v>
      </c>
    </row>
    <row r="71" spans="1:27" x14ac:dyDescent="0.2">
      <c r="A71" t="s">
        <v>93</v>
      </c>
      <c r="B71" t="s">
        <v>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M71">
        <v>0</v>
      </c>
      <c r="N71">
        <v>0</v>
      </c>
      <c r="X71">
        <f t="shared" si="1"/>
        <v>1</v>
      </c>
      <c r="Y71">
        <v>1</v>
      </c>
      <c r="Z71">
        <v>0</v>
      </c>
      <c r="AA71">
        <v>0</v>
      </c>
    </row>
    <row r="72" spans="1:27" x14ac:dyDescent="0.2">
      <c r="A72" t="s">
        <v>93</v>
      </c>
      <c r="B72" t="s">
        <v>99</v>
      </c>
      <c r="C72">
        <v>0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31</v>
      </c>
      <c r="K72">
        <v>33</v>
      </c>
      <c r="M72">
        <v>0</v>
      </c>
      <c r="N72">
        <v>0</v>
      </c>
      <c r="X72">
        <f t="shared" si="1"/>
        <v>31</v>
      </c>
      <c r="Y72">
        <v>17</v>
      </c>
      <c r="Z72">
        <v>11</v>
      </c>
      <c r="AA72">
        <v>3</v>
      </c>
    </row>
    <row r="73" spans="1:27" x14ac:dyDescent="0.2">
      <c r="A73" t="s">
        <v>100</v>
      </c>
      <c r="B73" t="s">
        <v>101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5</v>
      </c>
      <c r="K73">
        <v>6</v>
      </c>
      <c r="M73">
        <v>0</v>
      </c>
      <c r="N73">
        <v>1</v>
      </c>
      <c r="X73">
        <f t="shared" si="1"/>
        <v>5</v>
      </c>
      <c r="Y73">
        <v>3</v>
      </c>
      <c r="Z73">
        <v>2</v>
      </c>
      <c r="AA73">
        <v>0</v>
      </c>
    </row>
    <row r="74" spans="1:27" x14ac:dyDescent="0.2">
      <c r="A74" t="s">
        <v>102</v>
      </c>
      <c r="B74" t="s">
        <v>103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M74">
        <v>0</v>
      </c>
      <c r="N74">
        <v>0</v>
      </c>
      <c r="X74">
        <f t="shared" si="1"/>
        <v>0</v>
      </c>
      <c r="Y74">
        <v>0</v>
      </c>
      <c r="Z74">
        <v>0</v>
      </c>
      <c r="AA74">
        <v>0</v>
      </c>
    </row>
    <row r="75" spans="1:27" x14ac:dyDescent="0.2">
      <c r="A75" t="s">
        <v>104</v>
      </c>
      <c r="B75" t="s">
        <v>105</v>
      </c>
      <c r="C75">
        <v>0</v>
      </c>
      <c r="D75">
        <v>2</v>
      </c>
      <c r="E75">
        <v>0</v>
      </c>
      <c r="F75">
        <v>0</v>
      </c>
      <c r="G75">
        <v>1</v>
      </c>
      <c r="H75">
        <v>8</v>
      </c>
      <c r="I75">
        <v>9</v>
      </c>
      <c r="J75">
        <v>4</v>
      </c>
      <c r="K75">
        <v>24</v>
      </c>
      <c r="M75">
        <v>0</v>
      </c>
      <c r="N75">
        <v>2</v>
      </c>
      <c r="X75">
        <f t="shared" si="1"/>
        <v>4</v>
      </c>
      <c r="Y75">
        <v>2</v>
      </c>
      <c r="Z75">
        <v>2</v>
      </c>
      <c r="AA75">
        <v>0</v>
      </c>
    </row>
    <row r="76" spans="1:27" x14ac:dyDescent="0.2">
      <c r="A76" t="s">
        <v>106</v>
      </c>
      <c r="B76" t="s">
        <v>107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22</v>
      </c>
      <c r="J76">
        <v>0</v>
      </c>
      <c r="K76">
        <v>23</v>
      </c>
      <c r="M76">
        <v>0</v>
      </c>
      <c r="N76">
        <v>0</v>
      </c>
      <c r="X76">
        <f t="shared" si="1"/>
        <v>0</v>
      </c>
      <c r="Y76">
        <v>0</v>
      </c>
      <c r="Z76">
        <v>0</v>
      </c>
      <c r="AA76">
        <v>0</v>
      </c>
    </row>
    <row r="77" spans="1:27" x14ac:dyDescent="0.2">
      <c r="A77" t="s">
        <v>108</v>
      </c>
      <c r="B77" t="s">
        <v>109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15</v>
      </c>
      <c r="K77">
        <v>16</v>
      </c>
      <c r="M77">
        <v>0</v>
      </c>
      <c r="N77">
        <v>0</v>
      </c>
      <c r="X77">
        <f t="shared" si="1"/>
        <v>15</v>
      </c>
      <c r="Y77">
        <v>11</v>
      </c>
      <c r="Z77">
        <v>4</v>
      </c>
      <c r="AA77">
        <v>0</v>
      </c>
    </row>
    <row r="78" spans="1:27" x14ac:dyDescent="0.2">
      <c r="A78" t="s">
        <v>110</v>
      </c>
      <c r="B78" t="s">
        <v>111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  <c r="K78">
        <v>3</v>
      </c>
      <c r="M78">
        <v>0</v>
      </c>
      <c r="N78">
        <v>0</v>
      </c>
      <c r="X78">
        <f t="shared" si="1"/>
        <v>3</v>
      </c>
      <c r="Y78">
        <v>1</v>
      </c>
      <c r="Z78">
        <v>1</v>
      </c>
      <c r="AA78">
        <v>1</v>
      </c>
    </row>
    <row r="79" spans="1:27" x14ac:dyDescent="0.2">
      <c r="A79" t="s">
        <v>112</v>
      </c>
      <c r="B79" t="s">
        <v>113</v>
      </c>
      <c r="C79">
        <v>2</v>
      </c>
      <c r="D79">
        <v>30</v>
      </c>
      <c r="E79">
        <v>0</v>
      </c>
      <c r="F79">
        <v>0</v>
      </c>
      <c r="G79">
        <v>20</v>
      </c>
      <c r="H79">
        <v>43</v>
      </c>
      <c r="I79">
        <v>8</v>
      </c>
      <c r="J79">
        <v>49</v>
      </c>
      <c r="K79">
        <v>152</v>
      </c>
      <c r="M79">
        <v>2</v>
      </c>
      <c r="N79">
        <v>30</v>
      </c>
      <c r="O79">
        <f>SUM(M79:N84)</f>
        <v>118</v>
      </c>
      <c r="X79">
        <f t="shared" si="1"/>
        <v>49</v>
      </c>
      <c r="Y79">
        <v>20</v>
      </c>
      <c r="Z79">
        <v>26</v>
      </c>
      <c r="AA79">
        <v>3</v>
      </c>
    </row>
    <row r="80" spans="1:27" x14ac:dyDescent="0.2">
      <c r="A80" t="s">
        <v>112</v>
      </c>
      <c r="B80" t="s">
        <v>114</v>
      </c>
      <c r="C80">
        <v>9</v>
      </c>
      <c r="D80">
        <v>42</v>
      </c>
      <c r="E80">
        <v>2</v>
      </c>
      <c r="F80">
        <v>3</v>
      </c>
      <c r="G80">
        <v>63</v>
      </c>
      <c r="H80">
        <v>24</v>
      </c>
      <c r="I80">
        <v>1</v>
      </c>
      <c r="J80">
        <v>36</v>
      </c>
      <c r="K80">
        <v>180</v>
      </c>
      <c r="M80">
        <v>9</v>
      </c>
      <c r="N80">
        <v>42</v>
      </c>
      <c r="X80">
        <f t="shared" si="1"/>
        <v>36</v>
      </c>
      <c r="Y80">
        <v>14</v>
      </c>
      <c r="Z80">
        <v>16</v>
      </c>
      <c r="AA80">
        <v>6</v>
      </c>
    </row>
    <row r="81" spans="1:27" x14ac:dyDescent="0.2">
      <c r="A81" t="s">
        <v>112</v>
      </c>
      <c r="B81" t="s">
        <v>115</v>
      </c>
      <c r="C81">
        <v>0</v>
      </c>
      <c r="D81">
        <v>17</v>
      </c>
      <c r="E81">
        <v>0</v>
      </c>
      <c r="F81">
        <v>2</v>
      </c>
      <c r="G81">
        <v>23</v>
      </c>
      <c r="H81">
        <v>1</v>
      </c>
      <c r="I81">
        <v>0</v>
      </c>
      <c r="J81">
        <v>25</v>
      </c>
      <c r="K81">
        <v>68</v>
      </c>
      <c r="M81">
        <v>0</v>
      </c>
      <c r="N81">
        <v>17</v>
      </c>
      <c r="X81">
        <f t="shared" si="1"/>
        <v>25</v>
      </c>
      <c r="Y81">
        <v>14</v>
      </c>
      <c r="Z81">
        <v>9</v>
      </c>
      <c r="AA81">
        <v>2</v>
      </c>
    </row>
    <row r="82" spans="1:27" x14ac:dyDescent="0.2">
      <c r="A82" t="s">
        <v>112</v>
      </c>
      <c r="B82" t="s">
        <v>116</v>
      </c>
      <c r="C82">
        <v>0</v>
      </c>
      <c r="D82">
        <v>10</v>
      </c>
      <c r="E82">
        <v>0</v>
      </c>
      <c r="F82">
        <v>0</v>
      </c>
      <c r="G82">
        <v>29</v>
      </c>
      <c r="H82">
        <v>0</v>
      </c>
      <c r="I82">
        <v>2</v>
      </c>
      <c r="J82">
        <v>8</v>
      </c>
      <c r="K82">
        <v>49</v>
      </c>
      <c r="M82">
        <v>0</v>
      </c>
      <c r="N82">
        <v>10</v>
      </c>
      <c r="X82">
        <f t="shared" si="1"/>
        <v>8</v>
      </c>
      <c r="Y82">
        <v>4</v>
      </c>
      <c r="Z82">
        <v>4</v>
      </c>
      <c r="AA82">
        <v>0</v>
      </c>
    </row>
    <row r="83" spans="1:27" x14ac:dyDescent="0.2">
      <c r="A83" t="s">
        <v>112</v>
      </c>
      <c r="B83" t="s">
        <v>117</v>
      </c>
      <c r="C83">
        <v>1</v>
      </c>
      <c r="D83">
        <v>4</v>
      </c>
      <c r="E83">
        <v>0</v>
      </c>
      <c r="F83">
        <v>1</v>
      </c>
      <c r="G83">
        <v>13</v>
      </c>
      <c r="H83">
        <v>0</v>
      </c>
      <c r="I83">
        <v>0</v>
      </c>
      <c r="J83">
        <v>5</v>
      </c>
      <c r="K83">
        <v>24</v>
      </c>
      <c r="M83">
        <v>1</v>
      </c>
      <c r="N83">
        <v>4</v>
      </c>
      <c r="X83">
        <f t="shared" si="1"/>
        <v>5</v>
      </c>
      <c r="Y83">
        <v>4</v>
      </c>
      <c r="Z83">
        <v>1</v>
      </c>
      <c r="AA83">
        <v>0</v>
      </c>
    </row>
    <row r="84" spans="1:27" x14ac:dyDescent="0.2">
      <c r="A84" t="s">
        <v>112</v>
      </c>
      <c r="B84" t="s">
        <v>118</v>
      </c>
      <c r="C84">
        <v>0</v>
      </c>
      <c r="D84">
        <v>3</v>
      </c>
      <c r="E84">
        <v>0</v>
      </c>
      <c r="F84">
        <v>0</v>
      </c>
      <c r="G84">
        <v>3</v>
      </c>
      <c r="H84">
        <v>0</v>
      </c>
      <c r="I84">
        <v>2</v>
      </c>
      <c r="J84">
        <v>0</v>
      </c>
      <c r="K84">
        <v>8</v>
      </c>
      <c r="M84">
        <v>0</v>
      </c>
      <c r="N84">
        <v>3</v>
      </c>
      <c r="X84">
        <f t="shared" si="1"/>
        <v>0</v>
      </c>
      <c r="Y84">
        <v>0</v>
      </c>
      <c r="Z84">
        <v>0</v>
      </c>
      <c r="AA84">
        <v>0</v>
      </c>
    </row>
    <row r="85" spans="1:27" x14ac:dyDescent="0.2">
      <c r="A85" t="s">
        <v>119</v>
      </c>
      <c r="B85" t="s">
        <v>120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5</v>
      </c>
      <c r="J85">
        <v>0</v>
      </c>
      <c r="K85">
        <v>6</v>
      </c>
      <c r="M85">
        <v>0</v>
      </c>
      <c r="N85">
        <v>0</v>
      </c>
      <c r="X85">
        <f t="shared" si="1"/>
        <v>0</v>
      </c>
      <c r="Y85">
        <v>0</v>
      </c>
      <c r="Z85">
        <v>0</v>
      </c>
      <c r="AA85">
        <v>0</v>
      </c>
    </row>
    <row r="86" spans="1:27" x14ac:dyDescent="0.2">
      <c r="A86" t="s">
        <v>121</v>
      </c>
      <c r="B86" t="s">
        <v>122</v>
      </c>
      <c r="C86">
        <v>0</v>
      </c>
      <c r="D86">
        <v>0</v>
      </c>
      <c r="E86">
        <v>0</v>
      </c>
      <c r="F86">
        <v>0</v>
      </c>
      <c r="G86">
        <v>2</v>
      </c>
      <c r="H86">
        <v>0</v>
      </c>
      <c r="I86">
        <v>3</v>
      </c>
      <c r="J86">
        <v>9</v>
      </c>
      <c r="K86">
        <v>14</v>
      </c>
      <c r="M86">
        <v>0</v>
      </c>
      <c r="N86">
        <v>0</v>
      </c>
      <c r="X86">
        <f t="shared" si="1"/>
        <v>9</v>
      </c>
      <c r="Y86">
        <v>8</v>
      </c>
      <c r="Z86">
        <v>1</v>
      </c>
      <c r="AA86">
        <v>0</v>
      </c>
    </row>
    <row r="87" spans="1:27" x14ac:dyDescent="0.2">
      <c r="A87" t="s">
        <v>123</v>
      </c>
      <c r="B87" t="s">
        <v>124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M87">
        <v>0</v>
      </c>
      <c r="N87">
        <v>1</v>
      </c>
      <c r="X87">
        <f t="shared" si="1"/>
        <v>0</v>
      </c>
      <c r="Y87">
        <v>0</v>
      </c>
      <c r="Z87">
        <v>0</v>
      </c>
      <c r="AA87">
        <v>0</v>
      </c>
    </row>
    <row r="88" spans="1:27" x14ac:dyDescent="0.2">
      <c r="A88" t="s">
        <v>125</v>
      </c>
      <c r="B88" t="s">
        <v>126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4</v>
      </c>
      <c r="M88">
        <v>0</v>
      </c>
      <c r="N88">
        <v>2</v>
      </c>
      <c r="X88">
        <f t="shared" si="1"/>
        <v>0</v>
      </c>
      <c r="Y88">
        <v>0</v>
      </c>
      <c r="Z88">
        <v>0</v>
      </c>
      <c r="AA88">
        <v>0</v>
      </c>
    </row>
    <row r="89" spans="1:27" x14ac:dyDescent="0.2">
      <c r="A89" t="s">
        <v>127</v>
      </c>
      <c r="B89" t="s">
        <v>128</v>
      </c>
      <c r="C89">
        <v>0</v>
      </c>
      <c r="D89">
        <v>2</v>
      </c>
      <c r="E89">
        <v>0</v>
      </c>
      <c r="F89">
        <v>0</v>
      </c>
      <c r="G89">
        <v>4</v>
      </c>
      <c r="H89">
        <v>2</v>
      </c>
      <c r="I89">
        <v>3</v>
      </c>
      <c r="J89">
        <v>14</v>
      </c>
      <c r="K89">
        <v>25</v>
      </c>
      <c r="M89">
        <v>0</v>
      </c>
      <c r="N89">
        <v>2</v>
      </c>
      <c r="X89">
        <f t="shared" si="1"/>
        <v>14</v>
      </c>
      <c r="Y89">
        <v>9</v>
      </c>
      <c r="Z89">
        <v>5</v>
      </c>
      <c r="AA89">
        <v>0</v>
      </c>
    </row>
    <row r="90" spans="1:27" x14ac:dyDescent="0.2">
      <c r="A90" t="s">
        <v>129</v>
      </c>
      <c r="B90" t="s">
        <v>130</v>
      </c>
      <c r="C90">
        <v>0</v>
      </c>
      <c r="D90">
        <v>0</v>
      </c>
      <c r="E90">
        <v>0</v>
      </c>
      <c r="F90">
        <v>0</v>
      </c>
      <c r="G90">
        <v>0</v>
      </c>
      <c r="H90">
        <v>5</v>
      </c>
      <c r="I90">
        <v>2</v>
      </c>
      <c r="J90">
        <v>0</v>
      </c>
      <c r="K90">
        <v>7</v>
      </c>
      <c r="M90">
        <v>0</v>
      </c>
      <c r="N90">
        <v>0</v>
      </c>
      <c r="X90">
        <f t="shared" si="1"/>
        <v>0</v>
      </c>
      <c r="Y90">
        <v>0</v>
      </c>
      <c r="Z90">
        <v>0</v>
      </c>
      <c r="AA90">
        <v>0</v>
      </c>
    </row>
    <row r="91" spans="1:27" x14ac:dyDescent="0.2">
      <c r="B91" t="s">
        <v>132</v>
      </c>
      <c r="C91">
        <f>SUM(C2:C90)</f>
        <v>48</v>
      </c>
      <c r="D91">
        <f t="shared" ref="D91:K91" si="2">SUM(D2:D90)</f>
        <v>316</v>
      </c>
      <c r="E91">
        <f t="shared" si="2"/>
        <v>17</v>
      </c>
      <c r="F91">
        <f t="shared" si="2"/>
        <v>58</v>
      </c>
      <c r="G91">
        <f t="shared" si="2"/>
        <v>654</v>
      </c>
      <c r="H91">
        <f t="shared" si="2"/>
        <v>565</v>
      </c>
      <c r="I91">
        <f t="shared" si="2"/>
        <v>688</v>
      </c>
      <c r="J91">
        <f t="shared" si="2"/>
        <v>1975</v>
      </c>
      <c r="K91">
        <f t="shared" si="2"/>
        <v>4321</v>
      </c>
      <c r="M91">
        <f>SUM(M2:M90)</f>
        <v>23</v>
      </c>
      <c r="N91">
        <f>SUM(N2:N90)</f>
        <v>165</v>
      </c>
      <c r="O91">
        <f>SUM(M91:N91)</f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2023-11-29T13:41:58Z</dcterms:created>
  <dcterms:modified xsi:type="dcterms:W3CDTF">2023-11-30T13:22:56Z</dcterms:modified>
</cp:coreProperties>
</file>