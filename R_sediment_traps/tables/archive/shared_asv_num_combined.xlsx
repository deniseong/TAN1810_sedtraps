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eniseong/Documents/GitHub/Cruise-New-Zealand-TAN1810/R_sediment_traps/"/>
    </mc:Choice>
  </mc:AlternateContent>
  <xr:revisionPtr revIDLastSave="0" documentId="13_ncr:1_{DCFCAF70-2C5F-6944-9C0C-F05D3F6521C1}" xr6:coauthVersionLast="47" xr6:coauthVersionMax="47" xr10:uidLastSave="{00000000-0000-0000-0000-000000000000}"/>
  <bookViews>
    <workbookView xWindow="34200" yWindow="500" windowWidth="3840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4" i="1"/>
  <c r="U99" i="1"/>
  <c r="D96" i="1"/>
  <c r="F96" i="1"/>
  <c r="G96" i="1"/>
  <c r="F98" i="1" s="1"/>
  <c r="M96" i="1"/>
  <c r="N96" i="1"/>
  <c r="I96" i="1"/>
  <c r="J96" i="1"/>
  <c r="Q96" i="1"/>
  <c r="C96" i="1"/>
  <c r="C98" i="1" l="1"/>
  <c r="I98" i="1" s="1"/>
  <c r="O98" i="1"/>
</calcChain>
</file>

<file path=xl/sharedStrings.xml><?xml version="1.0" encoding="utf-8"?>
<sst xmlns="http://schemas.openxmlformats.org/spreadsheetml/2006/main" count="204" uniqueCount="136">
  <si>
    <t>subdivision</t>
  </si>
  <si>
    <t>class</t>
  </si>
  <si>
    <t>water_CTD</t>
  </si>
  <si>
    <t>water_pump</t>
  </si>
  <si>
    <t>trap_fix</t>
  </si>
  <si>
    <t>core</t>
  </si>
  <si>
    <t>total</t>
  </si>
  <si>
    <t>Alveolata_X</t>
  </si>
  <si>
    <t>Alveolata_XX</t>
  </si>
  <si>
    <t>Ellobiopsidae</t>
  </si>
  <si>
    <t>Ancyromonadida_X</t>
  </si>
  <si>
    <t>Ancyromonadida_XX</t>
  </si>
  <si>
    <t>Apicomplexa</t>
  </si>
  <si>
    <t>Gregarinomorphea</t>
  </si>
  <si>
    <t>Apicomplexa_X</t>
  </si>
  <si>
    <t>Coccidiomorphea</t>
  </si>
  <si>
    <t>Apusomonada_X</t>
  </si>
  <si>
    <t>Apusomonadidae</t>
  </si>
  <si>
    <t>Archaeplastida_XX</t>
  </si>
  <si>
    <t>Archaeplastida_XXX</t>
  </si>
  <si>
    <t>Bigyra</t>
  </si>
  <si>
    <t>Sagenista</t>
  </si>
  <si>
    <t>Opalozoa</t>
  </si>
  <si>
    <t>Bicoecea</t>
  </si>
  <si>
    <t>Bigyra_X</t>
  </si>
  <si>
    <t>Breviatea_X</t>
  </si>
  <si>
    <t>Breviatea_XX</t>
  </si>
  <si>
    <t>Centroplasthelida_X</t>
  </si>
  <si>
    <t>Pterocystida</t>
  </si>
  <si>
    <t>Cercozoa</t>
  </si>
  <si>
    <t>Filosa-Thecofilosea</t>
  </si>
  <si>
    <t>Cercozoa_X</t>
  </si>
  <si>
    <t>Filosa-Imbricatea</t>
  </si>
  <si>
    <t>Endomyxa</t>
  </si>
  <si>
    <t>Endomyxa-Phytomyxea</t>
  </si>
  <si>
    <t>Phaeodarea</t>
  </si>
  <si>
    <t>Chlorarachniophyceae</t>
  </si>
  <si>
    <t>Filosa-Granofilosea</t>
  </si>
  <si>
    <t>Chlorophyta_X</t>
  </si>
  <si>
    <t>Mamiellophyceae</t>
  </si>
  <si>
    <t>Pyramimonadophyceae</t>
  </si>
  <si>
    <t>Chloropicophyceae</t>
  </si>
  <si>
    <t>Chlorophyta_XX</t>
  </si>
  <si>
    <t>Prasino-Clade-VIII</t>
  </si>
  <si>
    <t>Trebouxiophyceae</t>
  </si>
  <si>
    <t>Choanoflagellata</t>
  </si>
  <si>
    <t>Choanoflagellatea</t>
  </si>
  <si>
    <t>Ciliophora</t>
  </si>
  <si>
    <t>Spirotrichea</t>
  </si>
  <si>
    <t>Oligohymenophorea</t>
  </si>
  <si>
    <t>Phyllopharyngea</t>
  </si>
  <si>
    <t>CONThreeP</t>
  </si>
  <si>
    <t>Litostomatea</t>
  </si>
  <si>
    <t>Ciliophora_X</t>
  </si>
  <si>
    <t>CONTH_8</t>
  </si>
  <si>
    <t>Heterotrichea</t>
  </si>
  <si>
    <t>Prostomatea</t>
  </si>
  <si>
    <t>CONTH_6</t>
  </si>
  <si>
    <t>Prostomatea_1</t>
  </si>
  <si>
    <t>Cyclotrichium_like_organism</t>
  </si>
  <si>
    <t>CONTH_1</t>
  </si>
  <si>
    <t>CONTH_3</t>
  </si>
  <si>
    <t>Cryptophyta_X</t>
  </si>
  <si>
    <t>Cryptophyceae</t>
  </si>
  <si>
    <t>Dinoflagellata</t>
  </si>
  <si>
    <t>Syndiniales</t>
  </si>
  <si>
    <t>Dinophyceae</t>
  </si>
  <si>
    <t>Dinoflagellata_X</t>
  </si>
  <si>
    <t>Noctilucophyceae</t>
  </si>
  <si>
    <t>Dinophyta_X</t>
  </si>
  <si>
    <t>Ellobiophyceae</t>
  </si>
  <si>
    <t>Gyrista</t>
  </si>
  <si>
    <t>Mediophyceae</t>
  </si>
  <si>
    <t>Chrysophyceae</t>
  </si>
  <si>
    <t>Gyrista_X</t>
  </si>
  <si>
    <t>Bacillariophyceae</t>
  </si>
  <si>
    <t>Dictyochophyceae</t>
  </si>
  <si>
    <t>Peronosporomycetes</t>
  </si>
  <si>
    <t>Coscinodiscophyceae</t>
  </si>
  <si>
    <t>Pelagophyceae</t>
  </si>
  <si>
    <t>Pirsoniales</t>
  </si>
  <si>
    <t>Bolidophyceae</t>
  </si>
  <si>
    <t>MOCH-2</t>
  </si>
  <si>
    <t>MOCH-1</t>
  </si>
  <si>
    <t>MOCH-4</t>
  </si>
  <si>
    <t>Developea</t>
  </si>
  <si>
    <t>Hyphochytriomyceta</t>
  </si>
  <si>
    <t>MOCH-3</t>
  </si>
  <si>
    <t>MOCH-5</t>
  </si>
  <si>
    <t>Haptophyta_X</t>
  </si>
  <si>
    <t>Prymnesiophyceae</t>
  </si>
  <si>
    <t>Haptophyta_XX</t>
  </si>
  <si>
    <t>Haptophyta_Clade_HAP3</t>
  </si>
  <si>
    <t>Haptophyta_Clade_HAP4</t>
  </si>
  <si>
    <t>Haptophyta_Clade_HAP5</t>
  </si>
  <si>
    <t>Pavlovophyceae</t>
  </si>
  <si>
    <t>Haptophyta_Clade_HAP2</t>
  </si>
  <si>
    <t>Kathablepharida</t>
  </si>
  <si>
    <t>Kathablepharidea</t>
  </si>
  <si>
    <t>Obazoa_XX</t>
  </si>
  <si>
    <t>Obazoa_XXX</t>
  </si>
  <si>
    <t>Opisthokonta_X</t>
  </si>
  <si>
    <t>Opisthokonta_XX</t>
  </si>
  <si>
    <t>Perkinsea</t>
  </si>
  <si>
    <t>Perkinsida</t>
  </si>
  <si>
    <t>Picozoa_X</t>
  </si>
  <si>
    <t>Picozoa_XX</t>
  </si>
  <si>
    <t>Prasinodermophyta_X</t>
  </si>
  <si>
    <t>Prasinodermophyceae</t>
  </si>
  <si>
    <t>Radiolaria</t>
  </si>
  <si>
    <t>Polycystinea</t>
  </si>
  <si>
    <t>Acantharea</t>
  </si>
  <si>
    <t>RAD-A</t>
  </si>
  <si>
    <t>RAD-B</t>
  </si>
  <si>
    <t>RAD-C</t>
  </si>
  <si>
    <t>Radiolaria_X</t>
  </si>
  <si>
    <t>Rotosphaerida</t>
  </si>
  <si>
    <t>Rotosphaerida_X</t>
  </si>
  <si>
    <t>Stramenopiles_X</t>
  </si>
  <si>
    <t>Stramenopiles_XX</t>
  </si>
  <si>
    <t>Streptophyta_X</t>
  </si>
  <si>
    <t>Embryophyceae</t>
  </si>
  <si>
    <t>TSAR_XX</t>
  </si>
  <si>
    <t>TSAR_XXX</t>
  </si>
  <si>
    <t>Telonemia_X</t>
  </si>
  <si>
    <t>Telonemia_XX</t>
  </si>
  <si>
    <t>Tubulinea_X</t>
  </si>
  <si>
    <t>Elardia</t>
  </si>
  <si>
    <t>Upper water col.</t>
  </si>
  <si>
    <t xml:space="preserve">Lower water col. </t>
  </si>
  <si>
    <t>Total</t>
  </si>
  <si>
    <t>to sediments</t>
  </si>
  <si>
    <t>to sedments</t>
  </si>
  <si>
    <t>Not exported</t>
  </si>
  <si>
    <t>Exported</t>
  </si>
  <si>
    <t>Unique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</si>
</sst>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1"/>
  <sheetViews>
    <sheetView tabSelected="1" workbookViewId="0">
      <pane xSplit="17" ySplit="3" topLeftCell="R66" activePane="bottomRight" state="frozen"/>
      <selection pane="topRight" activeCell="P1" sqref="P1"/>
      <selection pane="bottomLeft" activeCell="A4" sqref="A4"/>
      <selection pane="bottomRight" activeCell="C110" sqref="C110:N111"/>
    </sheetView>
  </sheetViews>
  <sheetFormatPr baseColWidth="10" defaultColWidth="8.83203125" defaultRowHeight="15" x14ac:dyDescent="0.2"/>
  <cols>
    <col min="1" max="1" width="18.1640625" bestFit="1" customWidth="1"/>
    <col min="2" max="2" width="23.6640625" bestFit="1" customWidth="1"/>
    <col min="3" max="3" width="14.1640625" bestFit="1" customWidth="1"/>
    <col min="4" max="4" width="17.33203125" bestFit="1" customWidth="1"/>
    <col min="5" max="5" width="17.33203125" customWidth="1"/>
    <col min="6" max="6" width="13.1640625" bestFit="1" customWidth="1"/>
    <col min="7" max="7" width="16.33203125" bestFit="1" customWidth="1"/>
    <col min="13" max="13" width="9.5" bestFit="1" customWidth="1"/>
    <col min="14" max="14" width="11" bestFit="1" customWidth="1"/>
    <col min="15" max="15" width="7" bestFit="1" customWidth="1"/>
    <col min="16" max="16" width="4.6640625" bestFit="1" customWidth="1"/>
    <col min="17" max="17" width="5.1640625" bestFit="1" customWidth="1"/>
  </cols>
  <sheetData>
    <row r="1" spans="1:17" x14ac:dyDescent="0.2">
      <c r="C1" t="s">
        <v>128</v>
      </c>
      <c r="F1" t="s">
        <v>129</v>
      </c>
    </row>
    <row r="2" spans="1:17" x14ac:dyDescent="0.2">
      <c r="C2" t="s">
        <v>134</v>
      </c>
      <c r="D2" t="s">
        <v>133</v>
      </c>
      <c r="F2" t="s">
        <v>134</v>
      </c>
      <c r="G2" t="s">
        <v>133</v>
      </c>
      <c r="O2" t="s">
        <v>135</v>
      </c>
    </row>
    <row r="3" spans="1:17" s="1" customFormat="1" x14ac:dyDescent="0.2">
      <c r="A3" s="1" t="s">
        <v>0</v>
      </c>
      <c r="B3" s="1" t="s">
        <v>1</v>
      </c>
      <c r="C3" s="1" t="s">
        <v>131</v>
      </c>
      <c r="D3" s="1" t="s">
        <v>132</v>
      </c>
      <c r="F3" s="1" t="s">
        <v>131</v>
      </c>
      <c r="G3" s="1" t="s">
        <v>132</v>
      </c>
      <c r="I3" s="1" t="s">
        <v>4</v>
      </c>
      <c r="J3" s="1" t="s">
        <v>5</v>
      </c>
      <c r="K3" s="1" t="s">
        <v>6</v>
      </c>
      <c r="M3" s="1" t="s">
        <v>2</v>
      </c>
      <c r="N3" s="1" t="s">
        <v>3</v>
      </c>
      <c r="Q3" s="1" t="s">
        <v>6</v>
      </c>
    </row>
    <row r="4" spans="1:17" x14ac:dyDescent="0.2">
      <c r="A4" t="s">
        <v>7</v>
      </c>
      <c r="B4" t="s">
        <v>8</v>
      </c>
      <c r="C4">
        <v>0</v>
      </c>
      <c r="D4">
        <v>0</v>
      </c>
      <c r="F4">
        <v>0</v>
      </c>
      <c r="G4">
        <v>0</v>
      </c>
      <c r="I4">
        <v>3</v>
      </c>
      <c r="J4">
        <v>36</v>
      </c>
      <c r="K4">
        <f>SUM(C4:J4)</f>
        <v>39</v>
      </c>
      <c r="M4">
        <v>0</v>
      </c>
      <c r="N4">
        <v>1</v>
      </c>
      <c r="Q4">
        <v>40</v>
      </c>
    </row>
    <row r="5" spans="1:17" x14ac:dyDescent="0.2">
      <c r="A5" t="s">
        <v>7</v>
      </c>
      <c r="B5" t="s">
        <v>9</v>
      </c>
      <c r="C5">
        <v>0</v>
      </c>
      <c r="D5">
        <v>1</v>
      </c>
      <c r="F5">
        <v>0</v>
      </c>
      <c r="G5">
        <v>0</v>
      </c>
      <c r="I5">
        <v>0</v>
      </c>
      <c r="J5">
        <v>0</v>
      </c>
      <c r="K5">
        <f t="shared" ref="K5:K68" si="0">SUM(C5:J5)</f>
        <v>1</v>
      </c>
      <c r="M5">
        <v>0</v>
      </c>
      <c r="N5">
        <v>1</v>
      </c>
      <c r="Q5">
        <v>2</v>
      </c>
    </row>
    <row r="6" spans="1:17" x14ac:dyDescent="0.2">
      <c r="A6" t="s">
        <v>10</v>
      </c>
      <c r="B6" t="s">
        <v>11</v>
      </c>
      <c r="C6">
        <v>0</v>
      </c>
      <c r="D6">
        <v>0</v>
      </c>
      <c r="F6">
        <v>0</v>
      </c>
      <c r="G6">
        <v>0</v>
      </c>
      <c r="I6">
        <v>3</v>
      </c>
      <c r="J6">
        <v>3</v>
      </c>
      <c r="K6">
        <f t="shared" si="0"/>
        <v>6</v>
      </c>
      <c r="M6">
        <v>0</v>
      </c>
      <c r="N6">
        <v>0</v>
      </c>
      <c r="Q6">
        <v>6</v>
      </c>
    </row>
    <row r="7" spans="1:17" x14ac:dyDescent="0.2">
      <c r="A7" t="s">
        <v>12</v>
      </c>
      <c r="B7" t="s">
        <v>13</v>
      </c>
      <c r="C7">
        <v>0</v>
      </c>
      <c r="D7">
        <v>0</v>
      </c>
      <c r="F7">
        <v>0</v>
      </c>
      <c r="G7">
        <v>0</v>
      </c>
      <c r="I7">
        <v>0</v>
      </c>
      <c r="J7">
        <v>19</v>
      </c>
      <c r="K7">
        <f t="shared" si="0"/>
        <v>19</v>
      </c>
      <c r="M7">
        <v>0</v>
      </c>
      <c r="N7">
        <v>0</v>
      </c>
      <c r="Q7">
        <v>19</v>
      </c>
    </row>
    <row r="8" spans="1:17" x14ac:dyDescent="0.2">
      <c r="A8" t="s">
        <v>12</v>
      </c>
      <c r="B8" t="s">
        <v>14</v>
      </c>
      <c r="C8">
        <v>0</v>
      </c>
      <c r="D8">
        <v>1</v>
      </c>
      <c r="F8">
        <v>0</v>
      </c>
      <c r="G8">
        <v>0</v>
      </c>
      <c r="I8">
        <v>0</v>
      </c>
      <c r="J8">
        <v>1</v>
      </c>
      <c r="K8">
        <f t="shared" si="0"/>
        <v>2</v>
      </c>
      <c r="M8">
        <v>2</v>
      </c>
      <c r="N8">
        <v>4</v>
      </c>
      <c r="Q8">
        <v>8</v>
      </c>
    </row>
    <row r="9" spans="1:17" x14ac:dyDescent="0.2">
      <c r="A9" t="s">
        <v>12</v>
      </c>
      <c r="B9" t="s">
        <v>15</v>
      </c>
      <c r="C9">
        <v>0</v>
      </c>
      <c r="D9">
        <v>0</v>
      </c>
      <c r="F9">
        <v>0</v>
      </c>
      <c r="G9">
        <v>0</v>
      </c>
      <c r="I9">
        <v>0</v>
      </c>
      <c r="J9">
        <v>1</v>
      </c>
      <c r="K9">
        <f t="shared" si="0"/>
        <v>1</v>
      </c>
      <c r="M9">
        <v>0</v>
      </c>
      <c r="N9">
        <v>0</v>
      </c>
      <c r="Q9">
        <v>1</v>
      </c>
    </row>
    <row r="10" spans="1:17" x14ac:dyDescent="0.2">
      <c r="A10" t="s">
        <v>16</v>
      </c>
      <c r="B10" t="s">
        <v>17</v>
      </c>
      <c r="C10">
        <v>0</v>
      </c>
      <c r="D10">
        <v>1</v>
      </c>
      <c r="F10">
        <v>0</v>
      </c>
      <c r="G10">
        <v>0</v>
      </c>
      <c r="I10">
        <v>0</v>
      </c>
      <c r="J10">
        <v>10</v>
      </c>
      <c r="K10">
        <f t="shared" si="0"/>
        <v>11</v>
      </c>
      <c r="M10">
        <v>2</v>
      </c>
      <c r="N10">
        <v>0</v>
      </c>
      <c r="Q10">
        <v>13</v>
      </c>
    </row>
    <row r="11" spans="1:17" x14ac:dyDescent="0.2">
      <c r="A11" t="s">
        <v>18</v>
      </c>
      <c r="B11" t="s">
        <v>19</v>
      </c>
      <c r="C11">
        <v>0</v>
      </c>
      <c r="D11">
        <v>1</v>
      </c>
      <c r="F11">
        <v>0</v>
      </c>
      <c r="G11">
        <v>0</v>
      </c>
      <c r="I11">
        <v>0</v>
      </c>
      <c r="J11">
        <v>1</v>
      </c>
      <c r="K11">
        <f t="shared" si="0"/>
        <v>2</v>
      </c>
      <c r="M11">
        <v>0</v>
      </c>
      <c r="N11">
        <v>0</v>
      </c>
      <c r="Q11">
        <v>2</v>
      </c>
    </row>
    <row r="12" spans="1:17" x14ac:dyDescent="0.2">
      <c r="A12" t="s">
        <v>20</v>
      </c>
      <c r="B12" t="s">
        <v>21</v>
      </c>
      <c r="C12">
        <v>1</v>
      </c>
      <c r="D12">
        <v>0</v>
      </c>
      <c r="F12">
        <v>3</v>
      </c>
      <c r="G12">
        <v>3</v>
      </c>
      <c r="I12">
        <v>2</v>
      </c>
      <c r="J12">
        <v>55</v>
      </c>
      <c r="K12">
        <f t="shared" si="0"/>
        <v>64</v>
      </c>
      <c r="M12">
        <v>27</v>
      </c>
      <c r="N12">
        <v>38</v>
      </c>
      <c r="Q12">
        <v>129</v>
      </c>
    </row>
    <row r="13" spans="1:17" x14ac:dyDescent="0.2">
      <c r="A13" t="s">
        <v>20</v>
      </c>
      <c r="B13" t="s">
        <v>22</v>
      </c>
      <c r="C13">
        <v>0</v>
      </c>
      <c r="D13">
        <v>5</v>
      </c>
      <c r="F13">
        <v>0</v>
      </c>
      <c r="G13">
        <v>0</v>
      </c>
      <c r="I13">
        <v>0</v>
      </c>
      <c r="J13">
        <v>7</v>
      </c>
      <c r="K13">
        <f t="shared" si="0"/>
        <v>12</v>
      </c>
      <c r="M13">
        <v>31</v>
      </c>
      <c r="N13">
        <v>29</v>
      </c>
      <c r="Q13">
        <v>72</v>
      </c>
    </row>
    <row r="14" spans="1:17" x14ac:dyDescent="0.2">
      <c r="A14" t="s">
        <v>20</v>
      </c>
      <c r="B14" t="s">
        <v>23</v>
      </c>
      <c r="C14">
        <v>1</v>
      </c>
      <c r="D14">
        <v>1</v>
      </c>
      <c r="F14">
        <v>0</v>
      </c>
      <c r="G14">
        <v>0</v>
      </c>
      <c r="I14">
        <v>2</v>
      </c>
      <c r="J14">
        <v>0</v>
      </c>
      <c r="K14">
        <f t="shared" si="0"/>
        <v>4</v>
      </c>
      <c r="M14">
        <v>1</v>
      </c>
      <c r="N14">
        <v>0</v>
      </c>
      <c r="Q14">
        <v>5</v>
      </c>
    </row>
    <row r="15" spans="1:17" x14ac:dyDescent="0.2">
      <c r="A15" t="s">
        <v>20</v>
      </c>
      <c r="B15" t="s">
        <v>24</v>
      </c>
      <c r="C15">
        <v>0</v>
      </c>
      <c r="D15">
        <v>0</v>
      </c>
      <c r="F15">
        <v>0</v>
      </c>
      <c r="G15">
        <v>0</v>
      </c>
      <c r="I15">
        <v>0</v>
      </c>
      <c r="J15">
        <v>0</v>
      </c>
      <c r="K15">
        <f t="shared" si="0"/>
        <v>0</v>
      </c>
      <c r="M15">
        <v>0</v>
      </c>
      <c r="N15">
        <v>1</v>
      </c>
      <c r="Q15">
        <v>1</v>
      </c>
    </row>
    <row r="16" spans="1:17" x14ac:dyDescent="0.2">
      <c r="A16" t="s">
        <v>25</v>
      </c>
      <c r="B16" t="s">
        <v>26</v>
      </c>
      <c r="C16">
        <v>0</v>
      </c>
      <c r="D16">
        <v>0</v>
      </c>
      <c r="F16">
        <v>0</v>
      </c>
      <c r="G16">
        <v>0</v>
      </c>
      <c r="I16">
        <v>0</v>
      </c>
      <c r="J16">
        <v>1</v>
      </c>
      <c r="K16">
        <f t="shared" si="0"/>
        <v>1</v>
      </c>
      <c r="M16">
        <v>0</v>
      </c>
      <c r="N16">
        <v>0</v>
      </c>
      <c r="Q16">
        <v>1</v>
      </c>
    </row>
    <row r="17" spans="1:17" x14ac:dyDescent="0.2">
      <c r="A17" t="s">
        <v>27</v>
      </c>
      <c r="B17" t="s">
        <v>28</v>
      </c>
      <c r="C17">
        <v>0</v>
      </c>
      <c r="D17">
        <v>1</v>
      </c>
      <c r="F17">
        <v>0</v>
      </c>
      <c r="G17">
        <v>0</v>
      </c>
      <c r="I17">
        <v>0</v>
      </c>
      <c r="J17">
        <v>0</v>
      </c>
      <c r="K17">
        <f t="shared" si="0"/>
        <v>1</v>
      </c>
      <c r="M17">
        <v>1</v>
      </c>
      <c r="N17">
        <v>1</v>
      </c>
      <c r="Q17">
        <v>3</v>
      </c>
    </row>
    <row r="18" spans="1:17" x14ac:dyDescent="0.2">
      <c r="A18" t="s">
        <v>29</v>
      </c>
      <c r="B18" t="s">
        <v>30</v>
      </c>
      <c r="C18">
        <v>1</v>
      </c>
      <c r="D18">
        <v>2</v>
      </c>
      <c r="F18">
        <v>1</v>
      </c>
      <c r="G18">
        <v>1</v>
      </c>
      <c r="I18">
        <v>1</v>
      </c>
      <c r="J18">
        <v>132</v>
      </c>
      <c r="K18">
        <f t="shared" si="0"/>
        <v>138</v>
      </c>
      <c r="M18">
        <v>7</v>
      </c>
      <c r="N18">
        <v>12</v>
      </c>
      <c r="Q18">
        <v>157</v>
      </c>
    </row>
    <row r="19" spans="1:17" x14ac:dyDescent="0.2">
      <c r="A19" t="s">
        <v>29</v>
      </c>
      <c r="B19" t="s">
        <v>31</v>
      </c>
      <c r="C19">
        <v>0</v>
      </c>
      <c r="D19">
        <v>3</v>
      </c>
      <c r="F19">
        <v>0</v>
      </c>
      <c r="G19">
        <v>1</v>
      </c>
      <c r="I19">
        <v>1</v>
      </c>
      <c r="J19">
        <v>67</v>
      </c>
      <c r="K19">
        <f t="shared" si="0"/>
        <v>72</v>
      </c>
      <c r="M19">
        <v>1</v>
      </c>
      <c r="N19">
        <v>2</v>
      </c>
      <c r="Q19">
        <v>75</v>
      </c>
    </row>
    <row r="20" spans="1:17" x14ac:dyDescent="0.2">
      <c r="A20" t="s">
        <v>29</v>
      </c>
      <c r="B20" t="s">
        <v>32</v>
      </c>
      <c r="C20">
        <v>0</v>
      </c>
      <c r="D20">
        <v>0</v>
      </c>
      <c r="F20">
        <v>1</v>
      </c>
      <c r="G20">
        <v>0</v>
      </c>
      <c r="I20">
        <v>0</v>
      </c>
      <c r="J20">
        <v>53</v>
      </c>
      <c r="K20">
        <f t="shared" si="0"/>
        <v>54</v>
      </c>
      <c r="M20">
        <v>5</v>
      </c>
      <c r="N20">
        <v>8</v>
      </c>
      <c r="Q20">
        <v>67</v>
      </c>
    </row>
    <row r="21" spans="1:17" x14ac:dyDescent="0.2">
      <c r="A21" t="s">
        <v>29</v>
      </c>
      <c r="B21" t="s">
        <v>33</v>
      </c>
      <c r="C21">
        <v>0</v>
      </c>
      <c r="D21">
        <v>0</v>
      </c>
      <c r="F21">
        <v>0</v>
      </c>
      <c r="G21">
        <v>0</v>
      </c>
      <c r="I21">
        <v>0</v>
      </c>
      <c r="J21">
        <v>7</v>
      </c>
      <c r="K21">
        <f t="shared" si="0"/>
        <v>7</v>
      </c>
      <c r="M21">
        <v>1</v>
      </c>
      <c r="N21">
        <v>2</v>
      </c>
      <c r="Q21">
        <v>10</v>
      </c>
    </row>
    <row r="22" spans="1:17" x14ac:dyDescent="0.2">
      <c r="A22" t="s">
        <v>29</v>
      </c>
      <c r="B22" t="s">
        <v>34</v>
      </c>
      <c r="C22">
        <v>0</v>
      </c>
      <c r="D22">
        <v>0</v>
      </c>
      <c r="F22">
        <v>0</v>
      </c>
      <c r="G22">
        <v>0</v>
      </c>
      <c r="I22">
        <v>0</v>
      </c>
      <c r="J22">
        <v>10</v>
      </c>
      <c r="K22">
        <f t="shared" si="0"/>
        <v>10</v>
      </c>
      <c r="M22">
        <v>0</v>
      </c>
      <c r="N22">
        <v>0</v>
      </c>
      <c r="Q22">
        <v>10</v>
      </c>
    </row>
    <row r="23" spans="1:17" x14ac:dyDescent="0.2">
      <c r="A23" t="s">
        <v>29</v>
      </c>
      <c r="B23" t="s">
        <v>35</v>
      </c>
      <c r="C23">
        <v>0</v>
      </c>
      <c r="D23">
        <v>0</v>
      </c>
      <c r="F23">
        <v>0</v>
      </c>
      <c r="G23">
        <v>3</v>
      </c>
      <c r="I23">
        <v>3</v>
      </c>
      <c r="J23">
        <v>0</v>
      </c>
      <c r="K23">
        <f t="shared" si="0"/>
        <v>6</v>
      </c>
      <c r="M23">
        <v>0</v>
      </c>
      <c r="N23">
        <v>3</v>
      </c>
      <c r="Q23">
        <v>9</v>
      </c>
    </row>
    <row r="24" spans="1:17" x14ac:dyDescent="0.2">
      <c r="A24" t="s">
        <v>29</v>
      </c>
      <c r="B24" t="s">
        <v>36</v>
      </c>
      <c r="C24">
        <v>0</v>
      </c>
      <c r="D24">
        <v>0</v>
      </c>
      <c r="F24">
        <v>0</v>
      </c>
      <c r="G24">
        <v>0</v>
      </c>
      <c r="I24">
        <v>0</v>
      </c>
      <c r="J24">
        <v>2</v>
      </c>
      <c r="K24">
        <f t="shared" si="0"/>
        <v>2</v>
      </c>
      <c r="M24">
        <v>3</v>
      </c>
      <c r="N24">
        <v>3</v>
      </c>
      <c r="Q24">
        <v>8</v>
      </c>
    </row>
    <row r="25" spans="1:17" x14ac:dyDescent="0.2">
      <c r="A25" t="s">
        <v>29</v>
      </c>
      <c r="B25" t="s">
        <v>37</v>
      </c>
      <c r="C25">
        <v>1</v>
      </c>
      <c r="D25">
        <v>1</v>
      </c>
      <c r="F25">
        <v>0</v>
      </c>
      <c r="G25">
        <v>0</v>
      </c>
      <c r="I25">
        <v>0</v>
      </c>
      <c r="J25">
        <v>0</v>
      </c>
      <c r="K25">
        <f t="shared" si="0"/>
        <v>2</v>
      </c>
      <c r="M25">
        <v>1</v>
      </c>
      <c r="N25">
        <v>1</v>
      </c>
      <c r="Q25">
        <v>4</v>
      </c>
    </row>
    <row r="26" spans="1:17" x14ac:dyDescent="0.2">
      <c r="A26" t="s">
        <v>38</v>
      </c>
      <c r="B26" t="s">
        <v>39</v>
      </c>
      <c r="C26">
        <v>3</v>
      </c>
      <c r="D26">
        <v>4</v>
      </c>
      <c r="F26">
        <v>0</v>
      </c>
      <c r="G26">
        <v>0</v>
      </c>
      <c r="I26">
        <v>0</v>
      </c>
      <c r="J26">
        <v>1</v>
      </c>
      <c r="K26">
        <f t="shared" si="0"/>
        <v>8</v>
      </c>
      <c r="M26">
        <v>14</v>
      </c>
      <c r="N26">
        <v>2</v>
      </c>
      <c r="Q26">
        <v>24</v>
      </c>
    </row>
    <row r="27" spans="1:17" x14ac:dyDescent="0.2">
      <c r="A27" t="s">
        <v>38</v>
      </c>
      <c r="B27" t="s">
        <v>40</v>
      </c>
      <c r="C27">
        <v>1</v>
      </c>
      <c r="D27">
        <v>3</v>
      </c>
      <c r="F27">
        <v>0</v>
      </c>
      <c r="G27">
        <v>0</v>
      </c>
      <c r="I27">
        <v>1</v>
      </c>
      <c r="J27">
        <v>1</v>
      </c>
      <c r="K27">
        <f t="shared" si="0"/>
        <v>6</v>
      </c>
      <c r="M27">
        <v>13</v>
      </c>
      <c r="N27">
        <v>1</v>
      </c>
      <c r="Q27">
        <v>20</v>
      </c>
    </row>
    <row r="28" spans="1:17" x14ac:dyDescent="0.2">
      <c r="A28" t="s">
        <v>38</v>
      </c>
      <c r="B28" t="s">
        <v>41</v>
      </c>
      <c r="C28">
        <v>5</v>
      </c>
      <c r="D28">
        <v>0</v>
      </c>
      <c r="F28">
        <v>0</v>
      </c>
      <c r="G28">
        <v>1</v>
      </c>
      <c r="I28">
        <v>0</v>
      </c>
      <c r="J28">
        <v>0</v>
      </c>
      <c r="K28">
        <f t="shared" si="0"/>
        <v>6</v>
      </c>
      <c r="M28">
        <v>1</v>
      </c>
      <c r="N28">
        <v>1</v>
      </c>
      <c r="Q28">
        <v>8</v>
      </c>
    </row>
    <row r="29" spans="1:17" x14ac:dyDescent="0.2">
      <c r="A29" t="s">
        <v>38</v>
      </c>
      <c r="B29" t="s">
        <v>42</v>
      </c>
      <c r="C29">
        <v>0</v>
      </c>
      <c r="D29">
        <v>1</v>
      </c>
      <c r="F29">
        <v>0</v>
      </c>
      <c r="G29">
        <v>0</v>
      </c>
      <c r="I29">
        <v>0</v>
      </c>
      <c r="J29">
        <v>0</v>
      </c>
      <c r="K29">
        <f t="shared" si="0"/>
        <v>1</v>
      </c>
      <c r="M29">
        <v>1</v>
      </c>
      <c r="N29">
        <v>1</v>
      </c>
      <c r="Q29">
        <v>3</v>
      </c>
    </row>
    <row r="30" spans="1:17" x14ac:dyDescent="0.2">
      <c r="A30" t="s">
        <v>38</v>
      </c>
      <c r="B30" t="s">
        <v>43</v>
      </c>
      <c r="C30">
        <v>0</v>
      </c>
      <c r="D30">
        <v>1</v>
      </c>
      <c r="F30">
        <v>0</v>
      </c>
      <c r="G30">
        <v>0</v>
      </c>
      <c r="I30">
        <v>0</v>
      </c>
      <c r="J30">
        <v>0</v>
      </c>
      <c r="K30">
        <f t="shared" si="0"/>
        <v>1</v>
      </c>
      <c r="M30">
        <v>2</v>
      </c>
      <c r="N30">
        <v>0</v>
      </c>
      <c r="Q30">
        <v>3</v>
      </c>
    </row>
    <row r="31" spans="1:17" x14ac:dyDescent="0.2">
      <c r="A31" t="s">
        <v>38</v>
      </c>
      <c r="B31" t="s">
        <v>44</v>
      </c>
      <c r="C31">
        <v>1</v>
      </c>
      <c r="D31">
        <v>0</v>
      </c>
      <c r="F31">
        <v>0</v>
      </c>
      <c r="G31">
        <v>0</v>
      </c>
      <c r="I31">
        <v>0</v>
      </c>
      <c r="J31">
        <v>0</v>
      </c>
      <c r="K31">
        <f t="shared" si="0"/>
        <v>1</v>
      </c>
      <c r="M31">
        <v>0</v>
      </c>
      <c r="N31">
        <v>0</v>
      </c>
      <c r="Q31">
        <v>1</v>
      </c>
    </row>
    <row r="32" spans="1:17" x14ac:dyDescent="0.2">
      <c r="A32" t="s">
        <v>45</v>
      </c>
      <c r="B32" t="s">
        <v>46</v>
      </c>
      <c r="C32">
        <v>0</v>
      </c>
      <c r="D32">
        <v>5</v>
      </c>
      <c r="F32">
        <v>0</v>
      </c>
      <c r="G32">
        <v>0</v>
      </c>
      <c r="I32">
        <v>1</v>
      </c>
      <c r="J32">
        <v>1</v>
      </c>
      <c r="K32">
        <f t="shared" si="0"/>
        <v>7</v>
      </c>
      <c r="M32">
        <v>19</v>
      </c>
      <c r="N32">
        <v>8</v>
      </c>
      <c r="Q32">
        <v>34</v>
      </c>
    </row>
    <row r="33" spans="1:17" x14ac:dyDescent="0.2">
      <c r="A33" t="s">
        <v>47</v>
      </c>
      <c r="B33" t="s">
        <v>48</v>
      </c>
      <c r="C33">
        <v>1</v>
      </c>
      <c r="D33">
        <v>107</v>
      </c>
      <c r="F33">
        <v>1</v>
      </c>
      <c r="G33">
        <v>22</v>
      </c>
      <c r="I33">
        <v>157</v>
      </c>
      <c r="J33">
        <v>43</v>
      </c>
      <c r="K33">
        <f t="shared" si="0"/>
        <v>331</v>
      </c>
      <c r="M33">
        <v>29</v>
      </c>
      <c r="N33">
        <v>13</v>
      </c>
      <c r="Q33">
        <v>373</v>
      </c>
    </row>
    <row r="34" spans="1:17" x14ac:dyDescent="0.2">
      <c r="A34" t="s">
        <v>47</v>
      </c>
      <c r="B34" t="s">
        <v>49</v>
      </c>
      <c r="C34">
        <v>0</v>
      </c>
      <c r="D34">
        <v>11</v>
      </c>
      <c r="F34">
        <v>0</v>
      </c>
      <c r="G34">
        <v>12</v>
      </c>
      <c r="I34">
        <v>92</v>
      </c>
      <c r="J34">
        <v>28</v>
      </c>
      <c r="K34">
        <f t="shared" si="0"/>
        <v>143</v>
      </c>
      <c r="M34">
        <v>1</v>
      </c>
      <c r="N34">
        <v>3</v>
      </c>
      <c r="Q34">
        <v>147</v>
      </c>
    </row>
    <row r="35" spans="1:17" x14ac:dyDescent="0.2">
      <c r="A35" t="s">
        <v>47</v>
      </c>
      <c r="B35" t="s">
        <v>50</v>
      </c>
      <c r="C35">
        <v>1</v>
      </c>
      <c r="D35">
        <v>14</v>
      </c>
      <c r="F35">
        <v>0</v>
      </c>
      <c r="G35">
        <v>0</v>
      </c>
      <c r="I35">
        <v>21</v>
      </c>
      <c r="J35">
        <v>11</v>
      </c>
      <c r="K35">
        <f t="shared" si="0"/>
        <v>47</v>
      </c>
      <c r="M35">
        <v>7</v>
      </c>
      <c r="N35">
        <v>1</v>
      </c>
      <c r="Q35">
        <v>55</v>
      </c>
    </row>
    <row r="36" spans="1:17" x14ac:dyDescent="0.2">
      <c r="A36" t="s">
        <v>47</v>
      </c>
      <c r="B36" t="s">
        <v>51</v>
      </c>
      <c r="C36">
        <v>0</v>
      </c>
      <c r="D36">
        <v>9</v>
      </c>
      <c r="F36">
        <v>0</v>
      </c>
      <c r="G36">
        <v>1</v>
      </c>
      <c r="I36">
        <v>13</v>
      </c>
      <c r="J36">
        <v>0</v>
      </c>
      <c r="K36">
        <f t="shared" si="0"/>
        <v>23</v>
      </c>
      <c r="M36">
        <v>9</v>
      </c>
      <c r="N36">
        <v>1</v>
      </c>
      <c r="Q36">
        <v>33</v>
      </c>
    </row>
    <row r="37" spans="1:17" x14ac:dyDescent="0.2">
      <c r="A37" t="s">
        <v>47</v>
      </c>
      <c r="B37" t="s">
        <v>52</v>
      </c>
      <c r="C37">
        <v>0</v>
      </c>
      <c r="D37">
        <v>3</v>
      </c>
      <c r="F37">
        <v>0</v>
      </c>
      <c r="G37">
        <v>0</v>
      </c>
      <c r="I37">
        <v>2</v>
      </c>
      <c r="J37">
        <v>28</v>
      </c>
      <c r="K37">
        <f t="shared" si="0"/>
        <v>33</v>
      </c>
      <c r="M37">
        <v>0</v>
      </c>
      <c r="N37">
        <v>0</v>
      </c>
      <c r="Q37">
        <v>33</v>
      </c>
    </row>
    <row r="38" spans="1:17" x14ac:dyDescent="0.2">
      <c r="A38" t="s">
        <v>47</v>
      </c>
      <c r="B38" t="s">
        <v>53</v>
      </c>
      <c r="C38">
        <v>1</v>
      </c>
      <c r="D38">
        <v>5</v>
      </c>
      <c r="F38">
        <v>0</v>
      </c>
      <c r="G38">
        <v>0</v>
      </c>
      <c r="I38">
        <v>6</v>
      </c>
      <c r="J38">
        <v>4</v>
      </c>
      <c r="K38">
        <f t="shared" si="0"/>
        <v>16</v>
      </c>
      <c r="M38">
        <v>2</v>
      </c>
      <c r="N38">
        <v>0</v>
      </c>
      <c r="Q38">
        <v>18</v>
      </c>
    </row>
    <row r="39" spans="1:17" x14ac:dyDescent="0.2">
      <c r="A39" t="s">
        <v>47</v>
      </c>
      <c r="B39" t="s">
        <v>54</v>
      </c>
      <c r="C39">
        <v>0</v>
      </c>
      <c r="D39">
        <v>2</v>
      </c>
      <c r="F39">
        <v>0</v>
      </c>
      <c r="G39">
        <v>0</v>
      </c>
      <c r="I39">
        <v>1</v>
      </c>
      <c r="J39">
        <v>0</v>
      </c>
      <c r="K39">
        <f t="shared" si="0"/>
        <v>3</v>
      </c>
      <c r="M39">
        <v>0</v>
      </c>
      <c r="N39">
        <v>0</v>
      </c>
      <c r="Q39">
        <v>3</v>
      </c>
    </row>
    <row r="40" spans="1:17" x14ac:dyDescent="0.2">
      <c r="A40" t="s">
        <v>47</v>
      </c>
      <c r="B40" t="s">
        <v>55</v>
      </c>
      <c r="C40">
        <v>0</v>
      </c>
      <c r="D40">
        <v>2</v>
      </c>
      <c r="F40">
        <v>0</v>
      </c>
      <c r="G40">
        <v>1</v>
      </c>
      <c r="I40">
        <v>0</v>
      </c>
      <c r="J40">
        <v>0</v>
      </c>
      <c r="K40">
        <f t="shared" si="0"/>
        <v>3</v>
      </c>
      <c r="M40">
        <v>0</v>
      </c>
      <c r="N40">
        <v>0</v>
      </c>
      <c r="Q40">
        <v>3</v>
      </c>
    </row>
    <row r="41" spans="1:17" x14ac:dyDescent="0.2">
      <c r="A41" t="s">
        <v>47</v>
      </c>
      <c r="B41" t="s">
        <v>56</v>
      </c>
      <c r="C41">
        <v>0</v>
      </c>
      <c r="D41">
        <v>2</v>
      </c>
      <c r="F41">
        <v>0</v>
      </c>
      <c r="G41">
        <v>0</v>
      </c>
      <c r="I41">
        <v>0</v>
      </c>
      <c r="J41">
        <v>0</v>
      </c>
      <c r="K41">
        <f t="shared" si="0"/>
        <v>2</v>
      </c>
      <c r="M41">
        <v>1</v>
      </c>
      <c r="N41">
        <v>0</v>
      </c>
      <c r="Q41">
        <v>3</v>
      </c>
    </row>
    <row r="42" spans="1:17" x14ac:dyDescent="0.2">
      <c r="A42" t="s">
        <v>47</v>
      </c>
      <c r="B42" t="s">
        <v>57</v>
      </c>
      <c r="C42">
        <v>0</v>
      </c>
      <c r="D42">
        <v>0</v>
      </c>
      <c r="F42">
        <v>0</v>
      </c>
      <c r="G42">
        <v>0</v>
      </c>
      <c r="I42">
        <v>0</v>
      </c>
      <c r="J42">
        <v>2</v>
      </c>
      <c r="K42">
        <f t="shared" si="0"/>
        <v>2</v>
      </c>
      <c r="M42">
        <v>0</v>
      </c>
      <c r="N42">
        <v>0</v>
      </c>
      <c r="Q42">
        <v>2</v>
      </c>
    </row>
    <row r="43" spans="1:17" x14ac:dyDescent="0.2">
      <c r="A43" t="s">
        <v>47</v>
      </c>
      <c r="B43" t="s">
        <v>58</v>
      </c>
      <c r="C43">
        <v>0</v>
      </c>
      <c r="D43">
        <v>0</v>
      </c>
      <c r="F43">
        <v>0</v>
      </c>
      <c r="G43">
        <v>0</v>
      </c>
      <c r="I43">
        <v>0</v>
      </c>
      <c r="J43">
        <v>0</v>
      </c>
      <c r="K43">
        <f t="shared" si="0"/>
        <v>0</v>
      </c>
      <c r="M43">
        <v>1</v>
      </c>
      <c r="N43">
        <v>0</v>
      </c>
      <c r="Q43">
        <v>1</v>
      </c>
    </row>
    <row r="44" spans="1:17" x14ac:dyDescent="0.2">
      <c r="A44" t="s">
        <v>47</v>
      </c>
      <c r="B44" t="s">
        <v>59</v>
      </c>
      <c r="C44">
        <v>0</v>
      </c>
      <c r="D44">
        <v>0</v>
      </c>
      <c r="F44">
        <v>0</v>
      </c>
      <c r="G44">
        <v>0</v>
      </c>
      <c r="I44">
        <v>1</v>
      </c>
      <c r="J44">
        <v>0</v>
      </c>
      <c r="K44">
        <f t="shared" si="0"/>
        <v>1</v>
      </c>
      <c r="M44">
        <v>0</v>
      </c>
      <c r="N44">
        <v>0</v>
      </c>
      <c r="Q44">
        <v>1</v>
      </c>
    </row>
    <row r="45" spans="1:17" x14ac:dyDescent="0.2">
      <c r="A45" t="s">
        <v>47</v>
      </c>
      <c r="B45" t="s">
        <v>60</v>
      </c>
      <c r="C45">
        <v>0</v>
      </c>
      <c r="D45">
        <v>0</v>
      </c>
      <c r="F45">
        <v>0</v>
      </c>
      <c r="G45">
        <v>0</v>
      </c>
      <c r="I45">
        <v>0</v>
      </c>
      <c r="J45">
        <v>1</v>
      </c>
      <c r="K45">
        <f t="shared" si="0"/>
        <v>1</v>
      </c>
      <c r="M45">
        <v>0</v>
      </c>
      <c r="N45">
        <v>0</v>
      </c>
      <c r="Q45">
        <v>1</v>
      </c>
    </row>
    <row r="46" spans="1:17" x14ac:dyDescent="0.2">
      <c r="A46" t="s">
        <v>47</v>
      </c>
      <c r="B46" t="s">
        <v>61</v>
      </c>
      <c r="C46">
        <v>0</v>
      </c>
      <c r="D46">
        <v>0</v>
      </c>
      <c r="F46">
        <v>0</v>
      </c>
      <c r="G46">
        <v>0</v>
      </c>
      <c r="I46">
        <v>0</v>
      </c>
      <c r="J46">
        <v>1</v>
      </c>
      <c r="K46">
        <f t="shared" si="0"/>
        <v>1</v>
      </c>
      <c r="M46">
        <v>0</v>
      </c>
      <c r="N46">
        <v>0</v>
      </c>
      <c r="Q46">
        <v>1</v>
      </c>
    </row>
    <row r="47" spans="1:17" x14ac:dyDescent="0.2">
      <c r="A47" t="s">
        <v>62</v>
      </c>
      <c r="B47" t="s">
        <v>63</v>
      </c>
      <c r="C47">
        <v>0</v>
      </c>
      <c r="D47">
        <v>5</v>
      </c>
      <c r="F47">
        <v>0</v>
      </c>
      <c r="G47">
        <v>0</v>
      </c>
      <c r="I47">
        <v>2</v>
      </c>
      <c r="J47">
        <v>0</v>
      </c>
      <c r="K47">
        <f t="shared" si="0"/>
        <v>7</v>
      </c>
      <c r="M47">
        <v>3</v>
      </c>
      <c r="N47">
        <v>1</v>
      </c>
      <c r="Q47">
        <v>11</v>
      </c>
    </row>
    <row r="48" spans="1:17" x14ac:dyDescent="0.2">
      <c r="K48">
        <f t="shared" si="0"/>
        <v>0</v>
      </c>
    </row>
    <row r="49" spans="1:17" x14ac:dyDescent="0.2">
      <c r="K49">
        <f t="shared" si="0"/>
        <v>0</v>
      </c>
    </row>
    <row r="50" spans="1:17" x14ac:dyDescent="0.2">
      <c r="K50">
        <f t="shared" si="0"/>
        <v>0</v>
      </c>
    </row>
    <row r="51" spans="1:17" x14ac:dyDescent="0.2">
      <c r="K51">
        <f t="shared" si="0"/>
        <v>0</v>
      </c>
    </row>
    <row r="52" spans="1:17" x14ac:dyDescent="0.2">
      <c r="K52">
        <f t="shared" si="0"/>
        <v>0</v>
      </c>
    </row>
    <row r="53" spans="1:17" x14ac:dyDescent="0.2">
      <c r="K53">
        <f t="shared" si="0"/>
        <v>0</v>
      </c>
    </row>
    <row r="54" spans="1:17" x14ac:dyDescent="0.2">
      <c r="A54" t="s">
        <v>71</v>
      </c>
      <c r="B54" t="s">
        <v>72</v>
      </c>
      <c r="C54">
        <v>6</v>
      </c>
      <c r="D54">
        <v>22</v>
      </c>
      <c r="F54">
        <v>2</v>
      </c>
      <c r="G54">
        <v>2</v>
      </c>
      <c r="I54">
        <v>2</v>
      </c>
      <c r="J54">
        <v>4</v>
      </c>
      <c r="K54">
        <f t="shared" si="0"/>
        <v>38</v>
      </c>
      <c r="M54">
        <v>11</v>
      </c>
      <c r="N54">
        <v>5</v>
      </c>
      <c r="Q54">
        <v>54</v>
      </c>
    </row>
    <row r="55" spans="1:17" x14ac:dyDescent="0.2">
      <c r="A55" t="s">
        <v>71</v>
      </c>
      <c r="B55" t="s">
        <v>73</v>
      </c>
      <c r="C55">
        <v>0</v>
      </c>
      <c r="D55">
        <v>6</v>
      </c>
      <c r="F55">
        <v>1</v>
      </c>
      <c r="G55">
        <v>0</v>
      </c>
      <c r="I55">
        <v>3</v>
      </c>
      <c r="J55">
        <v>9</v>
      </c>
      <c r="K55">
        <f t="shared" si="0"/>
        <v>19</v>
      </c>
      <c r="M55">
        <v>18</v>
      </c>
      <c r="N55">
        <v>6</v>
      </c>
      <c r="Q55">
        <v>43</v>
      </c>
    </row>
    <row r="56" spans="1:17" x14ac:dyDescent="0.2">
      <c r="A56" t="s">
        <v>71</v>
      </c>
      <c r="B56" t="s">
        <v>74</v>
      </c>
      <c r="C56">
        <v>1</v>
      </c>
      <c r="D56">
        <v>11</v>
      </c>
      <c r="F56">
        <v>1</v>
      </c>
      <c r="G56">
        <v>0</v>
      </c>
      <c r="I56">
        <v>1</v>
      </c>
      <c r="J56">
        <v>4</v>
      </c>
      <c r="K56">
        <f t="shared" si="0"/>
        <v>18</v>
      </c>
      <c r="M56">
        <v>11</v>
      </c>
      <c r="N56">
        <v>11</v>
      </c>
      <c r="Q56">
        <v>40</v>
      </c>
    </row>
    <row r="57" spans="1:17" x14ac:dyDescent="0.2">
      <c r="A57" t="s">
        <v>71</v>
      </c>
      <c r="B57" t="s">
        <v>75</v>
      </c>
      <c r="C57">
        <v>1</v>
      </c>
      <c r="D57">
        <v>13</v>
      </c>
      <c r="F57">
        <v>0</v>
      </c>
      <c r="G57">
        <v>1</v>
      </c>
      <c r="I57">
        <v>2</v>
      </c>
      <c r="J57">
        <v>3</v>
      </c>
      <c r="K57">
        <f t="shared" si="0"/>
        <v>20</v>
      </c>
      <c r="M57">
        <v>13</v>
      </c>
      <c r="N57">
        <v>3</v>
      </c>
      <c r="Q57">
        <v>36</v>
      </c>
    </row>
    <row r="58" spans="1:17" x14ac:dyDescent="0.2">
      <c r="A58" t="s">
        <v>71</v>
      </c>
      <c r="B58" t="s">
        <v>76</v>
      </c>
      <c r="C58">
        <v>0</v>
      </c>
      <c r="D58">
        <v>3</v>
      </c>
      <c r="F58">
        <v>0</v>
      </c>
      <c r="G58">
        <v>0</v>
      </c>
      <c r="I58">
        <v>1</v>
      </c>
      <c r="J58">
        <v>2</v>
      </c>
      <c r="K58">
        <f t="shared" si="0"/>
        <v>6</v>
      </c>
      <c r="M58">
        <v>25</v>
      </c>
      <c r="N58">
        <v>5</v>
      </c>
      <c r="Q58">
        <v>36</v>
      </c>
    </row>
    <row r="59" spans="1:17" x14ac:dyDescent="0.2">
      <c r="A59" t="s">
        <v>71</v>
      </c>
      <c r="B59" t="s">
        <v>77</v>
      </c>
      <c r="C59">
        <v>0</v>
      </c>
      <c r="D59">
        <v>1</v>
      </c>
      <c r="F59">
        <v>0</v>
      </c>
      <c r="G59">
        <v>0</v>
      </c>
      <c r="I59">
        <v>0</v>
      </c>
      <c r="J59">
        <v>17</v>
      </c>
      <c r="K59">
        <f t="shared" si="0"/>
        <v>18</v>
      </c>
      <c r="M59">
        <v>1</v>
      </c>
      <c r="N59">
        <v>1</v>
      </c>
      <c r="Q59">
        <v>20</v>
      </c>
    </row>
    <row r="60" spans="1:17" x14ac:dyDescent="0.2">
      <c r="A60" t="s">
        <v>71</v>
      </c>
      <c r="B60" t="s">
        <v>78</v>
      </c>
      <c r="C60">
        <v>2</v>
      </c>
      <c r="D60">
        <v>8</v>
      </c>
      <c r="F60">
        <v>2</v>
      </c>
      <c r="G60">
        <v>2</v>
      </c>
      <c r="I60">
        <v>0</v>
      </c>
      <c r="J60">
        <v>0</v>
      </c>
      <c r="K60">
        <f t="shared" si="0"/>
        <v>14</v>
      </c>
      <c r="M60">
        <v>3</v>
      </c>
      <c r="N60">
        <v>0</v>
      </c>
      <c r="Q60">
        <v>17</v>
      </c>
    </row>
    <row r="61" spans="1:17" x14ac:dyDescent="0.2">
      <c r="A61" t="s">
        <v>71</v>
      </c>
      <c r="B61" t="s">
        <v>79</v>
      </c>
      <c r="C61">
        <v>0</v>
      </c>
      <c r="D61">
        <v>4</v>
      </c>
      <c r="F61">
        <v>0</v>
      </c>
      <c r="G61">
        <v>0</v>
      </c>
      <c r="I61">
        <v>1</v>
      </c>
      <c r="J61">
        <v>0</v>
      </c>
      <c r="K61">
        <f t="shared" si="0"/>
        <v>5</v>
      </c>
      <c r="M61">
        <v>5</v>
      </c>
      <c r="N61">
        <v>5</v>
      </c>
      <c r="Q61">
        <v>15</v>
      </c>
    </row>
    <row r="62" spans="1:17" x14ac:dyDescent="0.2">
      <c r="A62" t="s">
        <v>71</v>
      </c>
      <c r="B62" t="s">
        <v>80</v>
      </c>
      <c r="C62">
        <v>0</v>
      </c>
      <c r="D62">
        <v>0</v>
      </c>
      <c r="F62">
        <v>0</v>
      </c>
      <c r="G62">
        <v>0</v>
      </c>
      <c r="I62">
        <v>1</v>
      </c>
      <c r="J62">
        <v>14</v>
      </c>
      <c r="K62">
        <f t="shared" si="0"/>
        <v>15</v>
      </c>
      <c r="M62">
        <v>0</v>
      </c>
      <c r="N62">
        <v>0</v>
      </c>
      <c r="Q62">
        <v>15</v>
      </c>
    </row>
    <row r="63" spans="1:17" x14ac:dyDescent="0.2">
      <c r="A63" t="s">
        <v>71</v>
      </c>
      <c r="B63" t="s">
        <v>81</v>
      </c>
      <c r="C63">
        <v>1</v>
      </c>
      <c r="D63">
        <v>1</v>
      </c>
      <c r="F63">
        <v>0</v>
      </c>
      <c r="G63">
        <v>0</v>
      </c>
      <c r="I63">
        <v>1</v>
      </c>
      <c r="J63">
        <v>3</v>
      </c>
      <c r="K63">
        <f t="shared" si="0"/>
        <v>6</v>
      </c>
      <c r="M63">
        <v>5</v>
      </c>
      <c r="N63">
        <v>1</v>
      </c>
      <c r="Q63">
        <v>12</v>
      </c>
    </row>
    <row r="64" spans="1:17" x14ac:dyDescent="0.2">
      <c r="A64" t="s">
        <v>71</v>
      </c>
      <c r="B64" t="s">
        <v>82</v>
      </c>
      <c r="C64">
        <v>0</v>
      </c>
      <c r="D64">
        <v>2</v>
      </c>
      <c r="F64">
        <v>0</v>
      </c>
      <c r="G64">
        <v>0</v>
      </c>
      <c r="I64">
        <v>0</v>
      </c>
      <c r="J64">
        <v>0</v>
      </c>
      <c r="K64">
        <f t="shared" si="0"/>
        <v>2</v>
      </c>
      <c r="M64">
        <v>8</v>
      </c>
      <c r="N64">
        <v>1</v>
      </c>
      <c r="Q64">
        <v>11</v>
      </c>
    </row>
    <row r="65" spans="1:17" x14ac:dyDescent="0.2">
      <c r="A65" t="s">
        <v>71</v>
      </c>
      <c r="B65" t="s">
        <v>83</v>
      </c>
      <c r="C65">
        <v>0</v>
      </c>
      <c r="D65">
        <v>0</v>
      </c>
      <c r="F65">
        <v>0</v>
      </c>
      <c r="G65">
        <v>0</v>
      </c>
      <c r="I65">
        <v>0</v>
      </c>
      <c r="J65">
        <v>0</v>
      </c>
      <c r="K65">
        <f t="shared" si="0"/>
        <v>0</v>
      </c>
      <c r="M65">
        <v>8</v>
      </c>
      <c r="N65">
        <v>0</v>
      </c>
      <c r="Q65">
        <v>8</v>
      </c>
    </row>
    <row r="66" spans="1:17" x14ac:dyDescent="0.2">
      <c r="A66" t="s">
        <v>71</v>
      </c>
      <c r="B66" t="s">
        <v>84</v>
      </c>
      <c r="C66">
        <v>0</v>
      </c>
      <c r="D66">
        <v>0</v>
      </c>
      <c r="F66">
        <v>0</v>
      </c>
      <c r="G66">
        <v>0</v>
      </c>
      <c r="I66">
        <v>0</v>
      </c>
      <c r="J66">
        <v>0</v>
      </c>
      <c r="K66">
        <f t="shared" si="0"/>
        <v>0</v>
      </c>
      <c r="M66">
        <v>2</v>
      </c>
      <c r="N66">
        <v>3</v>
      </c>
      <c r="Q66">
        <v>5</v>
      </c>
    </row>
    <row r="67" spans="1:17" x14ac:dyDescent="0.2">
      <c r="A67" t="s">
        <v>71</v>
      </c>
      <c r="B67" t="s">
        <v>85</v>
      </c>
      <c r="C67">
        <v>0</v>
      </c>
      <c r="D67">
        <v>0</v>
      </c>
      <c r="F67">
        <v>0</v>
      </c>
      <c r="G67">
        <v>0</v>
      </c>
      <c r="I67">
        <v>0</v>
      </c>
      <c r="J67">
        <v>3</v>
      </c>
      <c r="K67">
        <f t="shared" si="0"/>
        <v>3</v>
      </c>
      <c r="M67">
        <v>0</v>
      </c>
      <c r="N67">
        <v>0</v>
      </c>
      <c r="Q67">
        <v>3</v>
      </c>
    </row>
    <row r="68" spans="1:17" x14ac:dyDescent="0.2">
      <c r="A68" t="s">
        <v>71</v>
      </c>
      <c r="B68" t="s">
        <v>86</v>
      </c>
      <c r="C68">
        <v>0</v>
      </c>
      <c r="D68">
        <v>0</v>
      </c>
      <c r="F68">
        <v>0</v>
      </c>
      <c r="G68">
        <v>0</v>
      </c>
      <c r="I68">
        <v>0</v>
      </c>
      <c r="J68">
        <v>2</v>
      </c>
      <c r="K68">
        <f t="shared" si="0"/>
        <v>2</v>
      </c>
      <c r="M68">
        <v>0</v>
      </c>
      <c r="N68">
        <v>0</v>
      </c>
      <c r="Q68">
        <v>2</v>
      </c>
    </row>
    <row r="69" spans="1:17" x14ac:dyDescent="0.2">
      <c r="A69" t="s">
        <v>71</v>
      </c>
      <c r="B69" t="s">
        <v>87</v>
      </c>
      <c r="C69">
        <v>1</v>
      </c>
      <c r="D69">
        <v>0</v>
      </c>
      <c r="F69">
        <v>0</v>
      </c>
      <c r="G69">
        <v>0</v>
      </c>
      <c r="I69">
        <v>0</v>
      </c>
      <c r="J69">
        <v>0</v>
      </c>
      <c r="K69">
        <f t="shared" ref="K69:K96" si="1">SUM(C69:J69)</f>
        <v>1</v>
      </c>
      <c r="M69">
        <v>0</v>
      </c>
      <c r="N69">
        <v>0</v>
      </c>
      <c r="Q69">
        <v>1</v>
      </c>
    </row>
    <row r="70" spans="1:17" x14ac:dyDescent="0.2">
      <c r="A70" t="s">
        <v>71</v>
      </c>
      <c r="B70" t="s">
        <v>88</v>
      </c>
      <c r="C70">
        <v>0</v>
      </c>
      <c r="D70">
        <v>0</v>
      </c>
      <c r="F70">
        <v>0</v>
      </c>
      <c r="G70">
        <v>0</v>
      </c>
      <c r="I70">
        <v>0</v>
      </c>
      <c r="J70">
        <v>1</v>
      </c>
      <c r="K70">
        <f t="shared" si="1"/>
        <v>1</v>
      </c>
      <c r="M70">
        <v>0</v>
      </c>
      <c r="N70">
        <v>0</v>
      </c>
      <c r="Q70">
        <v>1</v>
      </c>
    </row>
    <row r="71" spans="1:17" x14ac:dyDescent="0.2">
      <c r="A71" t="s">
        <v>89</v>
      </c>
      <c r="B71" t="s">
        <v>90</v>
      </c>
      <c r="C71">
        <v>2</v>
      </c>
      <c r="D71">
        <v>8</v>
      </c>
      <c r="F71">
        <v>0</v>
      </c>
      <c r="G71">
        <v>1</v>
      </c>
      <c r="I71">
        <v>0</v>
      </c>
      <c r="J71">
        <v>0</v>
      </c>
      <c r="K71">
        <f t="shared" si="1"/>
        <v>11</v>
      </c>
      <c r="M71">
        <v>84</v>
      </c>
      <c r="N71">
        <v>8</v>
      </c>
      <c r="Q71">
        <v>103</v>
      </c>
    </row>
    <row r="72" spans="1:17" x14ac:dyDescent="0.2">
      <c r="A72" t="s">
        <v>89</v>
      </c>
      <c r="B72" t="s">
        <v>91</v>
      </c>
      <c r="C72">
        <v>0</v>
      </c>
      <c r="D72">
        <v>0</v>
      </c>
      <c r="F72">
        <v>0</v>
      </c>
      <c r="G72">
        <v>0</v>
      </c>
      <c r="I72">
        <v>0</v>
      </c>
      <c r="J72">
        <v>0</v>
      </c>
      <c r="K72">
        <f t="shared" si="1"/>
        <v>0</v>
      </c>
      <c r="M72">
        <v>5</v>
      </c>
      <c r="N72">
        <v>1</v>
      </c>
      <c r="Q72">
        <v>6</v>
      </c>
    </row>
    <row r="73" spans="1:17" x14ac:dyDescent="0.2">
      <c r="A73" t="s">
        <v>89</v>
      </c>
      <c r="B73" t="s">
        <v>92</v>
      </c>
      <c r="C73">
        <v>0</v>
      </c>
      <c r="D73">
        <v>1</v>
      </c>
      <c r="F73">
        <v>0</v>
      </c>
      <c r="G73">
        <v>0</v>
      </c>
      <c r="I73">
        <v>0</v>
      </c>
      <c r="J73">
        <v>0</v>
      </c>
      <c r="K73">
        <f t="shared" si="1"/>
        <v>1</v>
      </c>
      <c r="M73">
        <v>3</v>
      </c>
      <c r="N73">
        <v>0</v>
      </c>
      <c r="Q73">
        <v>4</v>
      </c>
    </row>
    <row r="74" spans="1:17" x14ac:dyDescent="0.2">
      <c r="A74" t="s">
        <v>89</v>
      </c>
      <c r="B74" t="s">
        <v>93</v>
      </c>
      <c r="C74">
        <v>0</v>
      </c>
      <c r="D74">
        <v>0</v>
      </c>
      <c r="F74">
        <v>0</v>
      </c>
      <c r="G74">
        <v>0</v>
      </c>
      <c r="I74">
        <v>0</v>
      </c>
      <c r="J74">
        <v>0</v>
      </c>
      <c r="K74">
        <f t="shared" si="1"/>
        <v>0</v>
      </c>
      <c r="M74">
        <v>2</v>
      </c>
      <c r="N74">
        <v>1</v>
      </c>
      <c r="Q74">
        <v>3</v>
      </c>
    </row>
    <row r="75" spans="1:17" x14ac:dyDescent="0.2">
      <c r="A75" t="s">
        <v>89</v>
      </c>
      <c r="B75" t="s">
        <v>94</v>
      </c>
      <c r="C75">
        <v>0</v>
      </c>
      <c r="D75">
        <v>0</v>
      </c>
      <c r="F75">
        <v>0</v>
      </c>
      <c r="G75">
        <v>0</v>
      </c>
      <c r="I75">
        <v>0</v>
      </c>
      <c r="J75">
        <v>0</v>
      </c>
      <c r="K75">
        <f t="shared" si="1"/>
        <v>0</v>
      </c>
      <c r="M75">
        <v>1</v>
      </c>
      <c r="N75">
        <v>1</v>
      </c>
      <c r="Q75">
        <v>2</v>
      </c>
    </row>
    <row r="76" spans="1:17" x14ac:dyDescent="0.2">
      <c r="A76" t="s">
        <v>89</v>
      </c>
      <c r="B76" t="s">
        <v>95</v>
      </c>
      <c r="C76">
        <v>0</v>
      </c>
      <c r="D76">
        <v>0</v>
      </c>
      <c r="F76">
        <v>0</v>
      </c>
      <c r="G76">
        <v>0</v>
      </c>
      <c r="I76">
        <v>0</v>
      </c>
      <c r="J76">
        <v>0</v>
      </c>
      <c r="K76">
        <f t="shared" si="1"/>
        <v>0</v>
      </c>
      <c r="M76">
        <v>1</v>
      </c>
      <c r="N76">
        <v>0</v>
      </c>
      <c r="Q76">
        <v>1</v>
      </c>
    </row>
    <row r="77" spans="1:17" x14ac:dyDescent="0.2">
      <c r="A77" t="s">
        <v>89</v>
      </c>
      <c r="B77" t="s">
        <v>96</v>
      </c>
      <c r="C77">
        <v>0</v>
      </c>
      <c r="D77">
        <v>0</v>
      </c>
      <c r="F77">
        <v>0</v>
      </c>
      <c r="G77">
        <v>0</v>
      </c>
      <c r="I77">
        <v>0</v>
      </c>
      <c r="J77">
        <v>0</v>
      </c>
      <c r="K77">
        <f t="shared" si="1"/>
        <v>0</v>
      </c>
      <c r="M77">
        <v>0</v>
      </c>
      <c r="N77">
        <v>1</v>
      </c>
      <c r="Q77">
        <v>1</v>
      </c>
    </row>
    <row r="78" spans="1:17" x14ac:dyDescent="0.2">
      <c r="A78" t="s">
        <v>97</v>
      </c>
      <c r="B78" t="s">
        <v>98</v>
      </c>
      <c r="C78">
        <v>0</v>
      </c>
      <c r="D78">
        <v>2</v>
      </c>
      <c r="F78">
        <v>0</v>
      </c>
      <c r="G78">
        <v>1</v>
      </c>
      <c r="I78">
        <v>0</v>
      </c>
      <c r="J78">
        <v>0</v>
      </c>
      <c r="K78">
        <f t="shared" si="1"/>
        <v>3</v>
      </c>
      <c r="M78">
        <v>1</v>
      </c>
      <c r="N78">
        <v>1</v>
      </c>
      <c r="Q78">
        <v>5</v>
      </c>
    </row>
    <row r="79" spans="1:17" x14ac:dyDescent="0.2">
      <c r="A79" t="s">
        <v>99</v>
      </c>
      <c r="B79" t="s">
        <v>100</v>
      </c>
      <c r="C79">
        <v>0</v>
      </c>
      <c r="D79">
        <v>0</v>
      </c>
      <c r="F79">
        <v>0</v>
      </c>
      <c r="G79">
        <v>0</v>
      </c>
      <c r="I79">
        <v>0</v>
      </c>
      <c r="J79">
        <v>1</v>
      </c>
      <c r="K79">
        <f t="shared" si="1"/>
        <v>1</v>
      </c>
      <c r="M79">
        <v>0</v>
      </c>
      <c r="N79">
        <v>0</v>
      </c>
      <c r="Q79">
        <v>1</v>
      </c>
    </row>
    <row r="80" spans="1:17" x14ac:dyDescent="0.2">
      <c r="A80" t="s">
        <v>101</v>
      </c>
      <c r="B80" t="s">
        <v>102</v>
      </c>
      <c r="C80">
        <v>0</v>
      </c>
      <c r="D80">
        <v>1</v>
      </c>
      <c r="F80">
        <v>0</v>
      </c>
      <c r="G80">
        <v>3</v>
      </c>
      <c r="I80">
        <v>8</v>
      </c>
      <c r="J80">
        <v>9</v>
      </c>
      <c r="K80">
        <f t="shared" si="1"/>
        <v>21</v>
      </c>
      <c r="M80">
        <v>1</v>
      </c>
      <c r="N80">
        <v>2</v>
      </c>
      <c r="Q80">
        <v>24</v>
      </c>
    </row>
    <row r="81" spans="1:17" x14ac:dyDescent="0.2">
      <c r="A81" t="s">
        <v>103</v>
      </c>
      <c r="B81" t="s">
        <v>104</v>
      </c>
      <c r="C81">
        <v>0</v>
      </c>
      <c r="D81">
        <v>0</v>
      </c>
      <c r="F81">
        <v>0</v>
      </c>
      <c r="G81">
        <v>0</v>
      </c>
      <c r="I81">
        <v>0</v>
      </c>
      <c r="J81">
        <v>22</v>
      </c>
      <c r="K81">
        <f t="shared" si="1"/>
        <v>22</v>
      </c>
      <c r="M81">
        <v>0</v>
      </c>
      <c r="N81">
        <v>1</v>
      </c>
      <c r="Q81">
        <v>23</v>
      </c>
    </row>
    <row r="82" spans="1:17" x14ac:dyDescent="0.2">
      <c r="A82" t="s">
        <v>105</v>
      </c>
      <c r="B82" t="s">
        <v>106</v>
      </c>
      <c r="C82">
        <v>0</v>
      </c>
      <c r="D82">
        <v>4</v>
      </c>
      <c r="F82">
        <v>0</v>
      </c>
      <c r="G82">
        <v>0</v>
      </c>
      <c r="I82">
        <v>0</v>
      </c>
      <c r="J82">
        <v>0</v>
      </c>
      <c r="K82">
        <f t="shared" si="1"/>
        <v>4</v>
      </c>
      <c r="M82">
        <v>10</v>
      </c>
      <c r="N82">
        <v>8</v>
      </c>
      <c r="Q82">
        <v>22</v>
      </c>
    </row>
    <row r="83" spans="1:17" x14ac:dyDescent="0.2">
      <c r="A83" t="s">
        <v>107</v>
      </c>
      <c r="B83" t="s">
        <v>108</v>
      </c>
      <c r="C83">
        <v>1</v>
      </c>
      <c r="D83">
        <v>0</v>
      </c>
      <c r="F83">
        <v>0</v>
      </c>
      <c r="G83">
        <v>0</v>
      </c>
      <c r="I83">
        <v>0</v>
      </c>
      <c r="J83">
        <v>0</v>
      </c>
      <c r="K83">
        <f t="shared" si="1"/>
        <v>1</v>
      </c>
      <c r="M83">
        <v>3</v>
      </c>
      <c r="N83">
        <v>0</v>
      </c>
      <c r="Q83">
        <v>4</v>
      </c>
    </row>
    <row r="84" spans="1:17" x14ac:dyDescent="0.2">
      <c r="A84" t="s">
        <v>109</v>
      </c>
      <c r="B84" t="s">
        <v>110</v>
      </c>
      <c r="C84">
        <v>4</v>
      </c>
      <c r="D84">
        <v>6</v>
      </c>
      <c r="F84">
        <v>11</v>
      </c>
      <c r="G84">
        <v>45</v>
      </c>
      <c r="I84">
        <v>25</v>
      </c>
      <c r="J84">
        <v>4</v>
      </c>
      <c r="K84">
        <f t="shared" si="1"/>
        <v>95</v>
      </c>
      <c r="M84">
        <v>1</v>
      </c>
      <c r="N84">
        <v>66</v>
      </c>
      <c r="Q84">
        <v>162</v>
      </c>
    </row>
    <row r="85" spans="1:17" x14ac:dyDescent="0.2">
      <c r="A85" t="s">
        <v>109</v>
      </c>
      <c r="B85" t="s">
        <v>111</v>
      </c>
      <c r="C85">
        <v>2</v>
      </c>
      <c r="D85">
        <v>20</v>
      </c>
      <c r="F85">
        <v>2</v>
      </c>
      <c r="G85">
        <v>33</v>
      </c>
      <c r="I85">
        <v>44</v>
      </c>
      <c r="J85">
        <v>8</v>
      </c>
      <c r="K85">
        <f t="shared" si="1"/>
        <v>109</v>
      </c>
      <c r="M85">
        <v>13</v>
      </c>
      <c r="N85">
        <v>20</v>
      </c>
      <c r="Q85">
        <v>142</v>
      </c>
    </row>
    <row r="86" spans="1:17" x14ac:dyDescent="0.2">
      <c r="A86" t="s">
        <v>109</v>
      </c>
      <c r="B86" t="s">
        <v>112</v>
      </c>
      <c r="C86">
        <v>2</v>
      </c>
      <c r="D86">
        <v>3</v>
      </c>
      <c r="F86">
        <v>0</v>
      </c>
      <c r="G86">
        <v>21</v>
      </c>
      <c r="I86">
        <v>1</v>
      </c>
      <c r="J86">
        <v>2</v>
      </c>
      <c r="K86">
        <f t="shared" si="1"/>
        <v>29</v>
      </c>
      <c r="M86">
        <v>5</v>
      </c>
      <c r="N86">
        <v>30</v>
      </c>
      <c r="Q86">
        <v>64</v>
      </c>
    </row>
    <row r="87" spans="1:17" x14ac:dyDescent="0.2">
      <c r="A87" t="s">
        <v>109</v>
      </c>
      <c r="B87" t="s">
        <v>113</v>
      </c>
      <c r="C87">
        <v>0</v>
      </c>
      <c r="D87">
        <v>2</v>
      </c>
      <c r="F87">
        <v>0</v>
      </c>
      <c r="G87">
        <v>12</v>
      </c>
      <c r="I87">
        <v>0</v>
      </c>
      <c r="J87">
        <v>2</v>
      </c>
      <c r="K87">
        <f t="shared" si="1"/>
        <v>16</v>
      </c>
      <c r="M87">
        <v>0</v>
      </c>
      <c r="N87">
        <v>29</v>
      </c>
      <c r="Q87">
        <v>45</v>
      </c>
    </row>
    <row r="88" spans="1:17" x14ac:dyDescent="0.2">
      <c r="A88" t="s">
        <v>109</v>
      </c>
      <c r="B88" t="s">
        <v>114</v>
      </c>
      <c r="C88">
        <v>0</v>
      </c>
      <c r="D88">
        <v>1</v>
      </c>
      <c r="F88">
        <v>1</v>
      </c>
      <c r="G88">
        <v>4</v>
      </c>
      <c r="I88">
        <v>0</v>
      </c>
      <c r="J88">
        <v>1</v>
      </c>
      <c r="K88">
        <f t="shared" si="1"/>
        <v>7</v>
      </c>
      <c r="M88">
        <v>2</v>
      </c>
      <c r="N88">
        <v>16</v>
      </c>
      <c r="Q88">
        <v>25</v>
      </c>
    </row>
    <row r="89" spans="1:17" x14ac:dyDescent="0.2">
      <c r="A89" t="s">
        <v>109</v>
      </c>
      <c r="B89" t="s">
        <v>115</v>
      </c>
      <c r="C89">
        <v>0</v>
      </c>
      <c r="D89">
        <v>0</v>
      </c>
      <c r="F89">
        <v>0</v>
      </c>
      <c r="G89">
        <v>3</v>
      </c>
      <c r="I89">
        <v>0</v>
      </c>
      <c r="J89">
        <v>2</v>
      </c>
      <c r="K89">
        <f t="shared" si="1"/>
        <v>5</v>
      </c>
      <c r="M89">
        <v>0</v>
      </c>
      <c r="N89">
        <v>3</v>
      </c>
      <c r="Q89">
        <v>8</v>
      </c>
    </row>
    <row r="90" spans="1:17" x14ac:dyDescent="0.2">
      <c r="A90" t="s">
        <v>116</v>
      </c>
      <c r="B90" t="s">
        <v>117</v>
      </c>
      <c r="C90">
        <v>0</v>
      </c>
      <c r="D90">
        <v>0</v>
      </c>
      <c r="F90">
        <v>0</v>
      </c>
      <c r="G90">
        <v>0</v>
      </c>
      <c r="I90">
        <v>0</v>
      </c>
      <c r="J90">
        <v>5</v>
      </c>
      <c r="K90">
        <f t="shared" si="1"/>
        <v>5</v>
      </c>
      <c r="M90">
        <v>0</v>
      </c>
      <c r="N90">
        <v>0</v>
      </c>
      <c r="Q90">
        <v>5</v>
      </c>
    </row>
    <row r="91" spans="1:17" x14ac:dyDescent="0.2">
      <c r="A91" t="s">
        <v>118</v>
      </c>
      <c r="B91" t="s">
        <v>119</v>
      </c>
      <c r="C91">
        <v>0</v>
      </c>
      <c r="D91">
        <v>0</v>
      </c>
      <c r="F91">
        <v>0</v>
      </c>
      <c r="G91">
        <v>0</v>
      </c>
      <c r="I91">
        <v>0</v>
      </c>
      <c r="J91">
        <v>3</v>
      </c>
      <c r="K91">
        <f t="shared" si="1"/>
        <v>3</v>
      </c>
      <c r="M91">
        <v>9</v>
      </c>
      <c r="N91">
        <v>8</v>
      </c>
      <c r="Q91">
        <v>20</v>
      </c>
    </row>
    <row r="92" spans="1:17" x14ac:dyDescent="0.2">
      <c r="A92" t="s">
        <v>120</v>
      </c>
      <c r="B92" t="s">
        <v>121</v>
      </c>
      <c r="C92">
        <v>0</v>
      </c>
      <c r="D92">
        <v>0</v>
      </c>
      <c r="F92">
        <v>0</v>
      </c>
      <c r="G92">
        <v>1</v>
      </c>
      <c r="I92">
        <v>0</v>
      </c>
      <c r="J92">
        <v>0</v>
      </c>
      <c r="K92">
        <f t="shared" si="1"/>
        <v>1</v>
      </c>
      <c r="M92">
        <v>0</v>
      </c>
      <c r="N92">
        <v>0</v>
      </c>
      <c r="Q92">
        <v>1</v>
      </c>
    </row>
    <row r="93" spans="1:17" x14ac:dyDescent="0.2">
      <c r="A93" t="s">
        <v>122</v>
      </c>
      <c r="B93" t="s">
        <v>123</v>
      </c>
      <c r="C93">
        <v>0</v>
      </c>
      <c r="D93">
        <v>0</v>
      </c>
      <c r="F93">
        <v>0</v>
      </c>
      <c r="G93">
        <v>2</v>
      </c>
      <c r="I93">
        <v>0</v>
      </c>
      <c r="J93">
        <v>2</v>
      </c>
      <c r="K93">
        <f t="shared" si="1"/>
        <v>4</v>
      </c>
      <c r="M93">
        <v>2</v>
      </c>
      <c r="N93">
        <v>0</v>
      </c>
      <c r="Q93">
        <v>6</v>
      </c>
    </row>
    <row r="94" spans="1:17" x14ac:dyDescent="0.2">
      <c r="A94" t="s">
        <v>124</v>
      </c>
      <c r="B94" t="s">
        <v>125</v>
      </c>
      <c r="C94">
        <v>0</v>
      </c>
      <c r="D94">
        <v>5</v>
      </c>
      <c r="F94">
        <v>0</v>
      </c>
      <c r="G94">
        <v>2</v>
      </c>
      <c r="I94">
        <v>2</v>
      </c>
      <c r="J94">
        <v>3</v>
      </c>
      <c r="K94">
        <f t="shared" si="1"/>
        <v>12</v>
      </c>
      <c r="M94">
        <v>20</v>
      </c>
      <c r="N94">
        <v>9</v>
      </c>
      <c r="Q94">
        <v>41</v>
      </c>
    </row>
    <row r="95" spans="1:17" x14ac:dyDescent="0.2">
      <c r="A95" t="s">
        <v>126</v>
      </c>
      <c r="B95" t="s">
        <v>127</v>
      </c>
      <c r="C95">
        <v>0</v>
      </c>
      <c r="D95">
        <v>0</v>
      </c>
      <c r="F95">
        <v>0</v>
      </c>
      <c r="G95">
        <v>0</v>
      </c>
      <c r="I95">
        <v>5</v>
      </c>
      <c r="J95">
        <v>2</v>
      </c>
      <c r="K95">
        <f t="shared" si="1"/>
        <v>7</v>
      </c>
      <c r="M95">
        <v>1</v>
      </c>
      <c r="N95">
        <v>0</v>
      </c>
      <c r="Q95">
        <v>8</v>
      </c>
    </row>
    <row r="96" spans="1:17" x14ac:dyDescent="0.2">
      <c r="B96" t="s">
        <v>130</v>
      </c>
      <c r="C96">
        <f>SUM(C4:C95)</f>
        <v>40</v>
      </c>
      <c r="D96">
        <f t="shared" ref="D96:Q96" si="2">SUM(D4:D95)</f>
        <v>315</v>
      </c>
      <c r="F96">
        <f t="shared" si="2"/>
        <v>26</v>
      </c>
      <c r="G96">
        <f t="shared" si="2"/>
        <v>178</v>
      </c>
      <c r="I96">
        <f>SUM(I4:I95)</f>
        <v>409</v>
      </c>
      <c r="J96">
        <f>SUM(J4:J95)</f>
        <v>654</v>
      </c>
      <c r="K96">
        <f t="shared" si="1"/>
        <v>1622</v>
      </c>
      <c r="M96">
        <f t="shared" si="2"/>
        <v>459</v>
      </c>
      <c r="N96">
        <f t="shared" si="2"/>
        <v>384</v>
      </c>
      <c r="Q96">
        <f t="shared" si="2"/>
        <v>2465</v>
      </c>
    </row>
    <row r="98" spans="1:21" x14ac:dyDescent="0.2">
      <c r="C98">
        <f>SUM(C96:D96)</f>
        <v>355</v>
      </c>
      <c r="F98">
        <f>SUM(F96:G96)</f>
        <v>204</v>
      </c>
      <c r="I98">
        <f>SUM(F98+C98)</f>
        <v>559</v>
      </c>
      <c r="O98">
        <f>SUM(I96+F98+C98)</f>
        <v>968</v>
      </c>
    </row>
    <row r="99" spans="1:21" x14ac:dyDescent="0.2">
      <c r="U99">
        <f>559/968</f>
        <v>0.5774793388429752</v>
      </c>
    </row>
    <row r="106" spans="1:21" x14ac:dyDescent="0.2">
      <c r="A106" t="s">
        <v>64</v>
      </c>
      <c r="B106" t="s">
        <v>65</v>
      </c>
      <c r="C106">
        <v>21</v>
      </c>
      <c r="D106">
        <v>255</v>
      </c>
      <c r="F106">
        <v>26</v>
      </c>
      <c r="G106">
        <v>143</v>
      </c>
      <c r="M106">
        <v>318</v>
      </c>
      <c r="N106">
        <v>499</v>
      </c>
      <c r="O106">
        <v>90</v>
      </c>
      <c r="P106">
        <v>69</v>
      </c>
      <c r="Q106">
        <v>1421</v>
      </c>
    </row>
    <row r="107" spans="1:21" x14ac:dyDescent="0.2">
      <c r="A107" t="s">
        <v>64</v>
      </c>
      <c r="B107" t="s">
        <v>66</v>
      </c>
      <c r="C107">
        <v>14</v>
      </c>
      <c r="D107">
        <v>197</v>
      </c>
      <c r="F107">
        <v>3</v>
      </c>
      <c r="G107">
        <v>49</v>
      </c>
      <c r="M107">
        <v>133</v>
      </c>
      <c r="N107">
        <v>81</v>
      </c>
      <c r="O107">
        <v>106</v>
      </c>
      <c r="P107">
        <v>30</v>
      </c>
      <c r="Q107">
        <v>613</v>
      </c>
    </row>
    <row r="108" spans="1:21" x14ac:dyDescent="0.2">
      <c r="A108" t="s">
        <v>64</v>
      </c>
      <c r="B108" t="s">
        <v>67</v>
      </c>
      <c r="C108">
        <v>0</v>
      </c>
      <c r="D108">
        <v>3</v>
      </c>
      <c r="F108">
        <v>0</v>
      </c>
      <c r="G108">
        <v>8</v>
      </c>
      <c r="M108">
        <v>11</v>
      </c>
      <c r="N108">
        <v>16</v>
      </c>
      <c r="O108">
        <v>2</v>
      </c>
      <c r="P108">
        <v>1</v>
      </c>
      <c r="Q108">
        <v>41</v>
      </c>
    </row>
    <row r="109" spans="1:21" x14ac:dyDescent="0.2">
      <c r="A109" t="s">
        <v>64</v>
      </c>
      <c r="B109" t="s">
        <v>68</v>
      </c>
      <c r="C109">
        <v>0</v>
      </c>
      <c r="D109">
        <v>4</v>
      </c>
      <c r="F109">
        <v>0</v>
      </c>
      <c r="G109">
        <v>0</v>
      </c>
      <c r="M109">
        <v>2</v>
      </c>
      <c r="N109">
        <v>0</v>
      </c>
      <c r="O109">
        <v>1</v>
      </c>
      <c r="P109">
        <v>0</v>
      </c>
      <c r="Q109">
        <v>7</v>
      </c>
    </row>
    <row r="110" spans="1:21" x14ac:dyDescent="0.2">
      <c r="A110" t="s">
        <v>64</v>
      </c>
      <c r="B110" t="s">
        <v>69</v>
      </c>
      <c r="C110">
        <v>0</v>
      </c>
      <c r="D110">
        <v>0</v>
      </c>
      <c r="F110">
        <v>0</v>
      </c>
      <c r="G110">
        <v>0</v>
      </c>
      <c r="M110">
        <v>0</v>
      </c>
      <c r="N110">
        <v>7</v>
      </c>
      <c r="O110">
        <v>0</v>
      </c>
      <c r="P110">
        <v>0</v>
      </c>
      <c r="Q110">
        <v>7</v>
      </c>
    </row>
    <row r="111" spans="1:21" x14ac:dyDescent="0.2">
      <c r="A111" t="s">
        <v>64</v>
      </c>
      <c r="B111" t="s">
        <v>70</v>
      </c>
      <c r="C111">
        <v>0</v>
      </c>
      <c r="D111">
        <v>0</v>
      </c>
      <c r="F111">
        <v>0</v>
      </c>
      <c r="G111">
        <v>0</v>
      </c>
      <c r="M111">
        <v>0</v>
      </c>
      <c r="N111">
        <v>2</v>
      </c>
      <c r="O111">
        <v>0</v>
      </c>
      <c r="P111">
        <v>0</v>
      </c>
      <c r="Q1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#DENISE ONG RUI YING#</cp:lastModifiedBy>
  <dcterms:created xsi:type="dcterms:W3CDTF">2024-07-01T14:00:27Z</dcterms:created>
  <dcterms:modified xsi:type="dcterms:W3CDTF">2024-07-01T16:28:11Z</dcterms:modified>
</cp:coreProperties>
</file>